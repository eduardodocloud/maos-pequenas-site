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r Maos Pequenas\Desktop\Balanços\"/>
    </mc:Choice>
  </mc:AlternateContent>
  <bookViews>
    <workbookView xWindow="0" yWindow="0" windowWidth="13530" windowHeight="6450"/>
  </bookViews>
  <sheets>
    <sheet name="BP 2014" sheetId="5" r:id="rId1"/>
    <sheet name="DR 2014" sheetId="1" r:id="rId2"/>
    <sheet name=" DMPL 2014" sheetId="7" r:id="rId3"/>
    <sheet name="DFC 2014" sheetId="10" r:id="rId4"/>
    <sheet name="Quadros (Notas)" sheetId="14" state="hidden" r:id="rId5"/>
  </sheets>
  <definedNames>
    <definedName name="_039___Demonstrações_Contábeis__Notas_Explicativas__2014_2013_1" localSheetId="4">'Quadros (Notas)'!#REF!</definedName>
    <definedName name="_xlnm.Print_Area" localSheetId="2">' DMPL 2014'!$B$2:$E$28</definedName>
    <definedName name="_xlnm.Print_Area" localSheetId="0">'BP 2014'!$B$2:$D$57</definedName>
    <definedName name="_xlnm.Print_Area" localSheetId="3">'DFC 2014'!$B$1:$D$53</definedName>
    <definedName name="_xlnm.Print_Area" localSheetId="1">'DR 2014'!$B$2:$E$47</definedName>
  </definedNames>
  <calcPr calcId="162913"/>
</workbook>
</file>

<file path=xl/calcChain.xml><?xml version="1.0" encoding="utf-8"?>
<calcChain xmlns="http://schemas.openxmlformats.org/spreadsheetml/2006/main">
  <c r="D42" i="5" l="1"/>
  <c r="D45" i="5"/>
  <c r="C45" i="5"/>
  <c r="C42" i="5"/>
  <c r="D32" i="5"/>
  <c r="C32" i="5"/>
  <c r="C47" i="5" s="1"/>
  <c r="D16" i="5"/>
  <c r="D11" i="5"/>
  <c r="D22" i="5"/>
  <c r="D21" i="5" s="1"/>
  <c r="D20" i="5" s="1"/>
  <c r="C22" i="5"/>
  <c r="C21" i="5" s="1"/>
  <c r="C20" i="5" s="1"/>
  <c r="C10" i="5"/>
  <c r="C16" i="5"/>
  <c r="C11" i="5"/>
  <c r="D32" i="1"/>
  <c r="D23" i="1" s="1"/>
  <c r="C32" i="1"/>
  <c r="D25" i="1"/>
  <c r="C25" i="1"/>
  <c r="C23" i="1" s="1"/>
  <c r="D16" i="1"/>
  <c r="D12" i="1" s="1"/>
  <c r="D11" i="1" s="1"/>
  <c r="D30" i="1" s="1"/>
  <c r="D13" i="1"/>
  <c r="C12" i="1"/>
  <c r="C11" i="1" s="1"/>
  <c r="C16" i="1"/>
  <c r="C13" i="1"/>
  <c r="E17" i="7"/>
  <c r="E16" i="7"/>
  <c r="E15" i="7"/>
  <c r="E13" i="7"/>
  <c r="E12" i="7"/>
  <c r="E14" i="7" s="1"/>
  <c r="E11" i="7"/>
  <c r="C18" i="7"/>
  <c r="D14" i="7"/>
  <c r="D18" i="7" s="1"/>
  <c r="C14" i="7"/>
  <c r="D42" i="10"/>
  <c r="D40" i="10"/>
  <c r="C42" i="10"/>
  <c r="D38" i="10"/>
  <c r="C38" i="10"/>
  <c r="D34" i="10"/>
  <c r="C34" i="10"/>
  <c r="D29" i="10"/>
  <c r="C29" i="10"/>
  <c r="C40" i="10" s="1"/>
  <c r="D15" i="10"/>
  <c r="C15" i="10"/>
  <c r="C30" i="1" l="1"/>
  <c r="C39" i="1"/>
  <c r="D39" i="1"/>
  <c r="D47" i="5"/>
  <c r="D10" i="5"/>
  <c r="E18" i="7"/>
  <c r="D125" i="14"/>
  <c r="B125" i="14"/>
  <c r="C125" i="14"/>
  <c r="E38" i="1" l="1"/>
  <c r="E17" i="1"/>
  <c r="E12" i="1" s="1"/>
  <c r="E23" i="1"/>
  <c r="E11" i="1" l="1"/>
  <c r="E39" i="1" s="1"/>
  <c r="E25" i="1"/>
</calcChain>
</file>

<file path=xl/connections.xml><?xml version="1.0" encoding="utf-8"?>
<connections xmlns="http://schemas.openxmlformats.org/spreadsheetml/2006/main">
  <connection id="1" name="039 - Demonstrações Contábeis (Notas Explicativas) 2014-2013" type="4" refreshedVersion="0" background="1">
    <webPr xml="1" sourceData="1" parsePre="1" consecutive="1" url="H:\DEPTO 3SETOR\039 - LAR ASSISTENCIAL MÃOS PEQUENAS\039 - LAR MÃOS PEQUENAS_2014\# Demonstrativos Contabeis\039 - Demonstrações Contábeis (Notas Explicativas) 2014-2013.xml" htmlTables="1"/>
  </connection>
</connections>
</file>

<file path=xl/sharedStrings.xml><?xml version="1.0" encoding="utf-8"?>
<sst xmlns="http://schemas.openxmlformats.org/spreadsheetml/2006/main" count="318" uniqueCount="219">
  <si>
    <t xml:space="preserve">Exercícios findos em 31 de dezembro - em reais </t>
  </si>
  <si>
    <t>      </t>
  </si>
  <si>
    <t>Resultado do Exercício</t>
  </si>
  <si>
    <t>Total</t>
  </si>
  <si>
    <t>Presidente</t>
  </si>
  <si>
    <t>BALANÇO PATRIMONIAL</t>
  </si>
  <si>
    <t>Atividades Operacionais</t>
  </si>
  <si>
    <t xml:space="preserve">   (+) Depreciação / Amortização</t>
  </si>
  <si>
    <t xml:space="preserve">   (-) Ganho na Venda de Imobilizado</t>
  </si>
  <si>
    <t>(=) Caixa gerado pelas atividades operacionais</t>
  </si>
  <si>
    <t>FLUXO DAS ATIVIDADES DE INVESTIMENTOS</t>
  </si>
  <si>
    <t>(=) Caixa gerado pelas atividades de investimentos</t>
  </si>
  <si>
    <t>FLUXO DAS ATIVIDADES DE FINANCIAMENTOS</t>
  </si>
  <si>
    <t>(=) Caixa gerado pelas atividades de financiamentos</t>
  </si>
  <si>
    <t>SALDO INICIAL DE DISPONIBILIDADES</t>
  </si>
  <si>
    <t>SALDO FINAL DE DISPONIBILIDADES</t>
  </si>
  <si>
    <t>A T I V O</t>
  </si>
  <si>
    <t>ATIVO CIRCULANTE</t>
  </si>
  <si>
    <t xml:space="preserve">  DISPONIBILIDADES</t>
  </si>
  <si>
    <t xml:space="preserve">  CRÉDITOS A RECEBER</t>
  </si>
  <si>
    <t xml:space="preserve">    Créditos por Adiantamentos</t>
  </si>
  <si>
    <t>ATIVO NÂO CIRCULANTE</t>
  </si>
  <si>
    <t xml:space="preserve">  IMOBILIZADO</t>
  </si>
  <si>
    <t xml:space="preserve">    Equipamentos de Informática</t>
  </si>
  <si>
    <t xml:space="preserve">    Equipamentos de Telefonia</t>
  </si>
  <si>
    <t xml:space="preserve">    Máquinas e Equipamentos</t>
  </si>
  <si>
    <t xml:space="preserve">    Móveis e Utensílios</t>
  </si>
  <si>
    <t xml:space="preserve">    Veículos</t>
  </si>
  <si>
    <t>P A S S I V O   +   P A T R I M O N I O  L I Q U I D O</t>
  </si>
  <si>
    <t>PASSIVO NÃO CIRCULANTE</t>
  </si>
  <si>
    <t xml:space="preserve">  Campanhas, Festas e Arrecadações</t>
  </si>
  <si>
    <t xml:space="preserve">  Receitas Financeiras</t>
  </si>
  <si>
    <t>C U S T O S   E   D E S P E S A S</t>
  </si>
  <si>
    <t xml:space="preserve">  Serviços Terceiros</t>
  </si>
  <si>
    <t xml:space="preserve">  Gastos Gerais de Funcionamento</t>
  </si>
  <si>
    <t>Despesas Financeiras</t>
  </si>
  <si>
    <t>FLUXO DAS ATIVIDADES DE OPERACIONAIS</t>
  </si>
  <si>
    <t xml:space="preserve">    Fornecedores de Materiais / Serviços</t>
  </si>
  <si>
    <t>R E C E I T A S   O P E R A C I O N A I S</t>
  </si>
  <si>
    <t>Resultado Bruto</t>
  </si>
  <si>
    <t xml:space="preserve">  Gastos Campanhas e Arrecadações</t>
  </si>
  <si>
    <t>CUSTEIO DOS PROJETOS</t>
  </si>
  <si>
    <t>DESPESAS OPERACIONAIS</t>
  </si>
  <si>
    <t xml:space="preserve">  Serviços de Comunicação</t>
  </si>
  <si>
    <t>Saldo em 31/12/2012</t>
  </si>
  <si>
    <t>Patrimônio Liquido</t>
  </si>
  <si>
    <t xml:space="preserve">    Caixa e Bancos Recursos Livres - Assistência Social</t>
  </si>
  <si>
    <t xml:space="preserve">    Bancos Recursos Terceiros - Assistência Social</t>
  </si>
  <si>
    <t xml:space="preserve">    Aplicações financeiras - Recursos Livres - Assistência Social</t>
  </si>
  <si>
    <t xml:space="preserve">    Aplicações financeiras - Recursos terceiros - Assistência Social</t>
  </si>
  <si>
    <t xml:space="preserve">    Outros Direitos Realizáveis</t>
  </si>
  <si>
    <t xml:space="preserve">    Secr. Assistência Social e Cidadania (PMD/SASC)</t>
  </si>
  <si>
    <t xml:space="preserve">  Doações Pessoas Físicas/Jurídicas</t>
  </si>
  <si>
    <t>Superávit/Déficit Ajustado</t>
  </si>
  <si>
    <t>MAQUINAS E EQUIPAMENTOS</t>
  </si>
  <si>
    <t>MOVEIS E UTENSILIOS</t>
  </si>
  <si>
    <t>VEICULOS</t>
  </si>
  <si>
    <t>RECEITAS</t>
  </si>
  <si>
    <t xml:space="preserve">    Verbas a Receber - </t>
  </si>
  <si>
    <t xml:space="preserve">    Obrigações Trabalhistas</t>
  </si>
  <si>
    <t xml:space="preserve">    Provisões de Férias e Encargos</t>
  </si>
  <si>
    <t>LAR ASSISTENCIAL MÃOS PEQUENAS</t>
  </si>
  <si>
    <t xml:space="preserve">           ELZIRA TURUKO TAIRA SANTOS</t>
  </si>
  <si>
    <t>CPF: 880.144.878-34</t>
  </si>
  <si>
    <t xml:space="preserve">  Outras Receitas</t>
  </si>
  <si>
    <t xml:space="preserve">  Receitas Parcerias</t>
  </si>
  <si>
    <t>(=) Caixa Gerado</t>
  </si>
  <si>
    <t>(=) Resultado Final de Caixa (Disponível)</t>
  </si>
  <si>
    <t>Recursos Recebidos pela Venda de Bens</t>
  </si>
  <si>
    <t>(+/-) Incorporação dos Déficits</t>
  </si>
  <si>
    <t>(+/-) Incorporação dos Superávits</t>
  </si>
  <si>
    <t xml:space="preserve">   (+) Baixa Depreciação / Amortização</t>
  </si>
  <si>
    <t>ELZIRA TURUKO TAIRA SANTOS</t>
  </si>
  <si>
    <t>ARISTIDES COSTA VIEIRA</t>
  </si>
  <si>
    <t>Contador</t>
  </si>
  <si>
    <t>CRC 1SP CT 169.311/O-0</t>
  </si>
  <si>
    <t>Saldo em 31/12/2013</t>
  </si>
  <si>
    <t xml:space="preserve">    Encargos Sociais</t>
  </si>
  <si>
    <t xml:space="preserve">   Diminuição/Aumento em créditos a receber</t>
  </si>
  <si>
    <t xml:space="preserve">   Diminuição/Aumento em Obrigações</t>
  </si>
  <si>
    <t>(+/-) Ajustes de Exercícios Anteriores</t>
  </si>
  <si>
    <t>(+/-) Superávit do Exercício</t>
  </si>
  <si>
    <t>MOVIMENTAÇÃO PATRIMONIAL</t>
  </si>
  <si>
    <t>DESCRIÇÃO</t>
  </si>
  <si>
    <t>SALDO 31/12/2013</t>
  </si>
  <si>
    <t>EQUIP. DE INFORMATICA</t>
  </si>
  <si>
    <t>EQUIP. DE TELEFONIA</t>
  </si>
  <si>
    <t>TOTAL</t>
  </si>
  <si>
    <t>DEPRECIAÇÃO / AMORTIZAÇÃO</t>
  </si>
  <si>
    <t>RECURSO DE ENTIDADE PUBLICA NACIONAL (PASSIVO)</t>
  </si>
  <si>
    <t>ASSISTENCIA SOCIAL</t>
  </si>
  <si>
    <t xml:space="preserve">   TOTAL</t>
  </si>
  <si>
    <t>ÁREA</t>
  </si>
  <si>
    <t>CUSTOS E DESPESAS</t>
  </si>
  <si>
    <t>%</t>
  </si>
  <si>
    <t xml:space="preserve">   Convênios</t>
  </si>
  <si>
    <t>Custeio dos Projetos Sociais</t>
  </si>
  <si>
    <t xml:space="preserve">   Custos Gerais</t>
  </si>
  <si>
    <t xml:space="preserve">  Convênios - Recursos Municipais</t>
  </si>
  <si>
    <t>Outras Receitas</t>
  </si>
  <si>
    <t xml:space="preserve">   Gastos c/ Campanhas e Arrecadações</t>
  </si>
  <si>
    <t xml:space="preserve">   Despesas Financeiras</t>
  </si>
  <si>
    <t xml:space="preserve">   Despesas Tributárias</t>
  </si>
  <si>
    <t>RESULTADO DO EXERCICIO</t>
  </si>
  <si>
    <t>Demonstrações financeiras de 2014 comparativo 2013</t>
  </si>
  <si>
    <t>Diadema, 31 de Dezembro de 2014</t>
  </si>
  <si>
    <t>Saldo em 31/12/2014</t>
  </si>
  <si>
    <t>AQUISIÇÃO  2014</t>
  </si>
  <si>
    <t>BAIXA 2014</t>
  </si>
  <si>
    <t>SALDO 31/12/2014</t>
  </si>
  <si>
    <t>DEPRECIAÇÃO 2014</t>
  </si>
  <si>
    <t>RECURSOS RECEBIDOS 31/12/2014</t>
  </si>
  <si>
    <t>RECURSOS APLICADOS 31/12/2014</t>
  </si>
  <si>
    <t>SALDO A APLICAR 31/12/2014</t>
  </si>
  <si>
    <t>Recursos de Convênios em Execução</t>
  </si>
  <si>
    <t xml:space="preserve">      Recursos de Entidades Públicas - Assistência Social</t>
  </si>
  <si>
    <t>Antecipações de Receitas</t>
  </si>
  <si>
    <t>PATRIMONIO LIQUIDO (DESCOBERTO)</t>
  </si>
  <si>
    <t xml:space="preserve">    Fundação Salvador Arena</t>
  </si>
  <si>
    <t>DEMONSTRAÇÃO DO DÉFICIT (SUPERÁVIT)</t>
  </si>
  <si>
    <t>(+) Redução de Contas Receber</t>
  </si>
  <si>
    <t>(-) Aumento da Antecipação de Despesas</t>
  </si>
  <si>
    <t>(+) Redução de Outros Créditos</t>
  </si>
  <si>
    <t xml:space="preserve">   Déficit / Superávit</t>
  </si>
  <si>
    <t>(+) Aumento das Obrigações c/ Fornecedores</t>
  </si>
  <si>
    <t>(-) Redução das Obrigações c/ Pessoal</t>
  </si>
  <si>
    <t>(+) Aumento dos Encargos a Recolher</t>
  </si>
  <si>
    <t>(+) Aumento dos Empréstimos</t>
  </si>
  <si>
    <t>(+/-) Aumento/Redução das Obrigações Tributárias</t>
  </si>
  <si>
    <t>(+) Aumento das Provisões de Férias e Encargos</t>
  </si>
  <si>
    <t>(-) Redução de Recursos de Projetos a Aplicar</t>
  </si>
  <si>
    <t>(+) Aumento das Antecipação de Receitas</t>
  </si>
  <si>
    <t>(-) Aquisição de imobilizado</t>
  </si>
  <si>
    <t>(-) Doações Patrimoniais</t>
  </si>
  <si>
    <t>(+/-) Déficit do Exercício</t>
  </si>
  <si>
    <t>(+/-) Incorporação do Déficit</t>
  </si>
  <si>
    <t xml:space="preserve">   Fundação Salvador Arena</t>
  </si>
  <si>
    <t xml:space="preserve">   Secr. Assist. Social e Cidadania (PMD/SASC) P.I.nº2392/12</t>
  </si>
  <si>
    <t>Valor Gratuidade realizado por meio recursos próprios</t>
  </si>
  <si>
    <t xml:space="preserve"> Assistência Social </t>
  </si>
  <si>
    <t>DEMONSTRAÇÃO DAS MUTAÇÕES DO PATRIMONIO LIQUIDO (DESCOBERTO)</t>
  </si>
  <si>
    <t xml:space="preserve">   (-) Depreciação Acumulada</t>
  </si>
  <si>
    <t>NOTAS EXPLICATIVAS ÀS DEMONSTRAÇÕES CONTÁBEIS EM 31.12.2014</t>
  </si>
  <si>
    <t>I – Contexto Operacional</t>
  </si>
  <si>
    <t>II – Apresentação das Demonstrações</t>
  </si>
  <si>
    <t>III – Resumo das Práticas Contábeis</t>
  </si>
  <si>
    <t>-</t>
  </si>
  <si>
    <t>Nota 18 - Despesas. Realizadas e comprovadas conforme documentação hábil, tendo todo o valor gasto de R$ 694.267,54 (Seiscentos e noventa e quatro mil, duzentos e sessenta e sete reais e cinquenta e quatro centavos) proveniente custos e despesas operacionais todas demonstradas no quadro “B”.</t>
  </si>
  <si>
    <t>Diadema, 31 de Dezembro de 2014.</t>
  </si>
  <si>
    <t xml:space="preserve"> </t>
  </si>
  <si>
    <t>Taxas de Depreciação</t>
  </si>
  <si>
    <t xml:space="preserve"> EQUIP. DE INFORMATICA </t>
  </si>
  <si>
    <t xml:space="preserve"> EQUIP. DE TELEFONIA </t>
  </si>
  <si>
    <t xml:space="preserve"> MAQUINAS E EQUIPAMENTOS </t>
  </si>
  <si>
    <t xml:space="preserve"> MOVEIS E UTENSILIOS </t>
  </si>
  <si>
    <t xml:space="preserve"> VEICULOS </t>
  </si>
  <si>
    <t xml:space="preserve">-  </t>
  </si>
  <si>
    <t xml:space="preserve">-   </t>
  </si>
  <si>
    <t>DEPRECIAÇÃO</t>
  </si>
  <si>
    <t>CORREÇÕES</t>
  </si>
  <si>
    <t>TOTAL IMOBILIZADO</t>
  </si>
  <si>
    <t>DEPRECIAÇÃO ACUMULADA</t>
  </si>
  <si>
    <t>QUADRO "A"    &lt;---&gt;   2014</t>
  </si>
  <si>
    <t>QUADRO "B"    &lt;---&gt;   2014</t>
  </si>
  <si>
    <t xml:space="preserve">   Pessoal com vinculo</t>
  </si>
  <si>
    <t xml:space="preserve">   Pessoal sem vinculo</t>
  </si>
  <si>
    <t xml:space="preserve">   Despesas Administrativas </t>
  </si>
  <si>
    <t xml:space="preserve">Nota 06 - Os Ativos Permanentes estão apresentados pelo custo de aquisição, do qual não houve para o exercício de 2014 a estimativa de mudança para critério de contabilização e nem estimativa para perda ou ganho, a condição especifica de uso dos mesmos, sem previsão de venda ou baixa, pelo fato de apresentarem função primordial as atividades da entidade.  </t>
  </si>
  <si>
    <t>Nota 07 - No exercício o imobilizado apresentou variação negativa no valor de R$ 20.079,05 (vinte mil e setenta e nove reais e cinco centavos), composto pelas aquisições no valor de R$ 1.405,31 (hum mil, quatrocentos e cinco reais e trinta e um centavos) menos a depreciações no valor de R$ 21.484,36 (vinte e um mil, quatrocentos e oitenta e quatro reais e trinta e seis centavos) consolidando em 31/12/2014 o saldo de R$ 71.174,12 (setenta e um mil, cento e setenta e quatro reais, doze centavos), assim especificados:</t>
  </si>
  <si>
    <t xml:space="preserve">Nota 10 - A Entidade, para contabilização dos recursos de subvenções governamentais, se baseou na resolução do Conselho Federal de Contabilidade nº 1305/10 do qual aprova a NBC TG 07. Para o exercício de 2014 o critério utilizado para o reconhecimento da receita é realizado pelo regime de competência, e seu reconhecimento é realizado de forma sistemática e racional ao longo do período e confrontada com as despesas correspondentes. Os saldos apresentados a seguir foram corrigidos com a soma do resultado das aplicações financeiras, cada qual em sua conta exclusiva, ajustados como obrigação e alocados nas contas de Recursos de Convênios dentro do passivo da entidade. </t>
  </si>
  <si>
    <t>DEVOLUÇÕES REC. NÃO UTILIZADOS</t>
  </si>
  <si>
    <t xml:space="preserve">   Secr. Assist. Social e Cidadania (PMD/SASC) Exercício 2013 </t>
  </si>
  <si>
    <t xml:space="preserve">   Secr. Assist. Social e Cidadania (PMD/SASC) Exercício 2014</t>
  </si>
  <si>
    <t xml:space="preserve">Nota 19 - As gratuidades estão demonstradas nas contas de despesas devidamente respaldadas com documentação hábil e respectivas planilhas. Observado que todos os recursos utilizados nas despesas realizadas tiveram 100% de seu valor revertido nas gratuidades no âmbito da área de atuação da Entidade. </t>
  </si>
  <si>
    <t>Valor Gratuidades por meio de Convênios</t>
  </si>
  <si>
    <t>Total realizado</t>
  </si>
  <si>
    <t>Pessoas atendidas</t>
  </si>
  <si>
    <t xml:space="preserve">Era o que tínhamos a informar e esclarecer em adendo as demonstrações contábeis correspondentes ao exercício findo em 31/12/2014. </t>
  </si>
  <si>
    <t>- </t>
  </si>
  <si>
    <t xml:space="preserve">• ASSISTÊNCIA SOCIAL </t>
  </si>
  <si>
    <t xml:space="preserve">Nota 01 - Objetivo Estatutário -  A Associação, denominada LAR ASSISTENCIAL MÃOS PEQUENAS, fundada em 05 de agosto de 2005, é uma Entidade Social e Filantrópica, destinada a prestar assistência social sob todos os aspectos, sem distinção de raça, cor, sexo, condição social, credo político ou religioso, tendo sua sede e foro na Rua Da Independência, 98 – Parque Sete de Setembro – CEP 09910-150 no Município e Comarca de Diadema, Estado de São Paulo. A Entidade tem a finalidade de acolher crianças provisoriamente, de ambos os sexos, com idade de 0 (zero) a 18 (dezoito) anos na perspectiva de retorno a família de origem ou substituta. O atendimento as crianças se fará respeitando os princípios segundo o Estatuto da Criança e Adolescente (Artigo 92 e Artigo 4º Lei Federal 8069/90), gratuito e permanente, e se fará, respeitando os seguintes princípios: Preservação dos vínculos familiares; Integração em família substituta, quando esgotados os recursos de manutenção na família de origem; Atendimento personalizado em pequenos grupos; Desenvolvimento de atividades em regime de coeducação; Não desmembramento de grupos de irmãos; Evitar, sempre que possível, a transferência para outras entidades; Participação na vida da comunicação local; Preparação gradativa para o desacolhimento; Oferecer cuidados médicos, psicológicos, odontológicos e farmacêuticos; Observar os direitos e garantias de que são titulares; Preservar a identidade e oferecer ambiente de respeito e dignidade; Oferecer instalações físicas em condições adequadas de habitabilidade, higiene e pessoal; Proporcionar escolarização e profissionalização; Proporcionar atividades culturais, esportivas e de lazer; e, Reavaliar, periodicamente cada caso, com intervalo máximo de seis meses, dando ciência dos resultados a autoridade competente. A entidade mantém autonomia administrativa perante Órgãos Públicos e Privados. </t>
  </si>
  <si>
    <t xml:space="preserve">Nota 02 – As demonstrações contábeis e Financeiras encerradas em 31.12.2014 foram elaboradas de acordo com as práticas contábeis da Lei nº 11638/07 que alterou e revogou dispositivos existentes e introduziu novos dispositivos em observância aos Princípios Fundamentais de Contabilidade e a Resolução do Conselho Federal de Contabilidade nº 1409/12, que aprovou a Interpretação ITG 2002 – Entidade sem Finalidade de Lucro, a qual trata em específico dos aspectos contábeis das entidades sem finalidade de lucros. A norma NBC TG 1000 – Contabilidade para Pequenas e Medias Empresas, para os aspectos não abordados pela ITG 2002. </t>
  </si>
  <si>
    <t>Nota 03 – Os custos, as despesas e as receitas da Entidade foram apropriados em obediência ao regime de competência do exercício. Os direitos e obrigações foram classificados em ordem decrescente de realização e exigibilidade respectivamente, sendo que aqueles vencíveis até o exercício seguinte foram classificados no Circulante.</t>
  </si>
  <si>
    <t xml:space="preserve">Nota 04 – As aplicações financeiras estão demonstradas pelo valor de aplicação, acrescido dos rendimentos correspondentes, apropriados até a data do Balanço, em obediência ao regime de competência dos exercícios e aplicados integralmente nas atividades fins; </t>
  </si>
  <si>
    <r>
      <t xml:space="preserve">Nota 08 – </t>
    </r>
    <r>
      <rPr>
        <sz val="10"/>
        <rFont val="Arial"/>
        <family val="2"/>
      </rPr>
      <t>A Instituição não apresentou constituição para devedores duvidosos tendo em vista a natureza dos créditos existentes na contabilidade.</t>
    </r>
  </si>
  <si>
    <r>
      <t xml:space="preserve">Nota 09 </t>
    </r>
    <r>
      <rPr>
        <sz val="10"/>
        <rFont val="Arial"/>
        <family val="2"/>
      </rPr>
      <t xml:space="preserve">- A Instituição não possui saldo de recursos sujeitos a restrição ou vinculações por parte do doador.  </t>
    </r>
  </si>
  <si>
    <r>
      <rPr>
        <b/>
        <sz val="10"/>
        <rFont val="Arial"/>
        <family val="2"/>
      </rPr>
      <t>Nota 12</t>
    </r>
    <r>
      <rPr>
        <sz val="10"/>
        <rFont val="Arial"/>
        <family val="2"/>
      </rPr>
      <t xml:space="preserve"> – </t>
    </r>
    <r>
      <rPr>
        <sz val="10"/>
        <rFont val="Arial"/>
        <family val="2"/>
      </rPr>
      <t>O Recurso de convênio recebido teve a seguinte destinação:</t>
    </r>
  </si>
  <si>
    <t xml:space="preserve">A) - Secr. Assistência Social e Cidadania (PMD/SASC) R$ 288.000,00 (Duzentos e oitenta e oito mil reais) oriundos de dotações orçamentárias específicas, alocadas no Fundo Municipal de Assistência Social (FMAS) e repassadas pela Secretaria de Assistência Social e Cidadania do Município (SASC) do município de Diadema. Recursos esses utilizados para o Programa de Acolhimento Provisório que tem por objetivo dar abrigo a crianças de ambos os sexos na faixa etária de 0 a 17 anos e 11 meses em situação de risco ou exclusão social, encaminhadas pelo Poder Judiciário e Conselho Tutelar para cumprimento de medida de proteção integral com caráter provisório. </t>
  </si>
  <si>
    <t xml:space="preserve">B) - Secr. Assistência Social e Cidadania (PMD/SASC) R$ 10.000,00 (Dez mil reais) oriundos de dotações orçamentárias específicas, alocadas no Fundo Municipal de Assistência Social (FMAS) e repassadas pela Secretaria de Assistência Social e Cidadania do Município (SASC) do Município de Diadema Estado de São Paulo, valor este referente a reajuste. </t>
  </si>
  <si>
    <t>Nota 13 – As doações recebidas que foram realizadas por Pessoas Jurídicas perfizeram o valor R$ 74.521,81 (setenta e quatro mil, quinhentos e vinte e um reais e oitenta e um centavos) e Pessoas Físicas R$ 121.775,57 (cento e vinte e um mil e setecentos e cinco reais e cinquenta e sete centavos), totalizando o valor de R$ 196.297,38 (Cento e noventa e seis mil, duzentos e noventa e sete reais e trinta e oito centavos).</t>
  </si>
  <si>
    <r>
      <t xml:space="preserve">Nota 14 - </t>
    </r>
    <r>
      <rPr>
        <sz val="10"/>
        <rFont val="Arial"/>
        <family val="2"/>
      </rPr>
      <t>A provisão para férias e encargos foi constituída em montante suficiente para a cobertura de obrigações com férias dos funcionários, vencidas e proporcionais com os respectivos encargos sociais até da data do balanço.</t>
    </r>
  </si>
  <si>
    <r>
      <t xml:space="preserve">Nota 15 – </t>
    </r>
    <r>
      <rPr>
        <sz val="10"/>
        <rFont val="Arial"/>
        <family val="2"/>
      </rPr>
      <t>Os encargos e impostos a recolher, e contas a pagar são resultantes das obrigações assumidas no decorrer do ano base e do mês de dezembro, a serem pagas no início do ano seguinte.</t>
    </r>
  </si>
  <si>
    <r>
      <t xml:space="preserve">Nota 16 – </t>
    </r>
    <r>
      <rPr>
        <sz val="10"/>
        <rFont val="Arial"/>
        <family val="2"/>
      </rPr>
      <t>Os recursos foram aplicados em suas finalidades institucionais de conformidade com o Estatuto em vigor, demonstrado pelas suas Despesas e Investimentos Patrimoniais e o Princípio Contábil da Continuidade da Entidade.</t>
    </r>
  </si>
  <si>
    <r>
      <t>Nota 17</t>
    </r>
    <r>
      <rPr>
        <sz val="10"/>
        <rFont val="Arial"/>
        <family val="2"/>
      </rPr>
      <t xml:space="preserve"> - No exercício de 2014 a entidade obteve o montante de R$ 633.784,52 (Seiscentos e trinta e três mil, setecentos e oitenta e quatro reais e cinquenta e dois centavos) de receitas operacionais, oriundas das fontes Demonstradas no quadro “A”.</t>
    </r>
  </si>
  <si>
    <r>
      <t xml:space="preserve">Nota 20 - </t>
    </r>
    <r>
      <rPr>
        <sz val="10"/>
        <rFont val="Arial"/>
        <family val="2"/>
      </rPr>
      <t>Os valores das gratuidades concedidas em atendimento ao disposto na Lei no 12.101, de 27 de novembro de 2009, e na Lei no 12.868, de 15 de outubro de 2013 estão assim demonstrados:</t>
    </r>
  </si>
  <si>
    <t>Nota 21 – Patrimônio Líquido: Findo o exercício de 2014, apresentou a variação no valor de R$ 87.922,02 (Oitenta e sete mil, novecentos e vinte e dois reais e dois centavos), composto pelo déficit do período no valor de R$ 60.483,02 (sessenta mil, quatrocentos e oitenta e três reais e dois centavos) mais a transferência de doações patrimoniais do exercício R$ 27.439,00 (vinte e sete mil, quatrocentos e trinta e nove reais) para conta de receita diferida, consolidando o saldo do patrimônio social descoberto em R$ 29.074,98 (Vinte e nove mil, setenta e quatro reais e noventa e oito centavos)</t>
  </si>
  <si>
    <t xml:space="preserve">                          -   </t>
  </si>
  <si>
    <t xml:space="preserve">   Ativo Fixo - Assistência Social</t>
  </si>
  <si>
    <t>TOTAL DO ATIVO</t>
  </si>
  <si>
    <t>PASSIVO CIRCULANTE</t>
  </si>
  <si>
    <t xml:space="preserve">    Empréstimos</t>
  </si>
  <si>
    <t xml:space="preserve">    Receita Diferidas - Assistência Social</t>
  </si>
  <si>
    <t>Antecipações de Receitas - Exigíveis a Longo Prazo</t>
  </si>
  <si>
    <t>Patrimônio Social</t>
  </si>
  <si>
    <t>TOTAL DO PASSIVO + PATRIMONIO LIQUIDO</t>
  </si>
  <si>
    <t xml:space="preserve">  Assistência Social</t>
  </si>
  <si>
    <r>
      <t xml:space="preserve"> </t>
    </r>
    <r>
      <rPr>
        <b/>
        <u/>
        <sz val="8"/>
        <rFont val="Verdana"/>
        <family val="2"/>
      </rPr>
      <t>Com Restrição</t>
    </r>
  </si>
  <si>
    <r>
      <t xml:space="preserve"> </t>
    </r>
    <r>
      <rPr>
        <b/>
        <u/>
        <sz val="8"/>
        <rFont val="Verdana"/>
        <family val="2"/>
      </rPr>
      <t>Sem Restrição</t>
    </r>
  </si>
  <si>
    <t xml:space="preserve">               -   </t>
  </si>
  <si>
    <t xml:space="preserve">  Créditos Nota Fiscal Paulista</t>
  </si>
  <si>
    <r>
      <t xml:space="preserve"> </t>
    </r>
    <r>
      <rPr>
        <b/>
        <u/>
        <sz val="8"/>
        <rFont val="Verdana"/>
        <family val="2"/>
      </rPr>
      <t>Assistência Social</t>
    </r>
  </si>
  <si>
    <t xml:space="preserve">  Pessoal Com Vínculo Empregatício</t>
  </si>
  <si>
    <t xml:space="preserve">  Manutenção e Infraestrutura</t>
  </si>
  <si>
    <t>Despesas tributarias</t>
  </si>
  <si>
    <t>RESULTADO DO EXERCÍCIO</t>
  </si>
  <si>
    <t xml:space="preserve">                         -   </t>
  </si>
  <si>
    <t xml:space="preserve">                  -   </t>
  </si>
  <si>
    <t xml:space="preserve">                -   </t>
  </si>
  <si>
    <t>DEMONSTRAÇÃO DO FLUXO DE CAIXA - Método Indireto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</si>
</sst>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color indexed="18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b/>
      <sz val="10"/>
      <name val="Verdana"/>
      <family val="2"/>
    </font>
    <font>
      <sz val="10"/>
      <name val="Arial"/>
      <family val="2"/>
    </font>
    <font>
      <i/>
      <sz val="8"/>
      <name val="Verdana"/>
      <family val="2"/>
    </font>
    <font>
      <b/>
      <u/>
      <sz val="8"/>
      <name val="Verdana"/>
      <family val="2"/>
    </font>
    <font>
      <u/>
      <sz val="8"/>
      <name val="Verdana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3">
    <border>
      <left/>
      <right/>
      <top/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 style="thin">
        <color indexed="2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21"/>
      </top>
      <bottom/>
      <diagonal/>
    </border>
    <border>
      <left/>
      <right style="thin">
        <color indexed="21"/>
      </right>
      <top style="thin">
        <color indexed="21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8080"/>
      </bottom>
      <diagonal/>
    </border>
    <border>
      <left/>
      <right style="medium">
        <color indexed="64"/>
      </right>
      <top/>
      <bottom style="medium">
        <color rgb="FF00808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9">
    <xf numFmtId="0" fontId="0" fillId="0" borderId="0"/>
    <xf numFmtId="0" fontId="7" fillId="0" borderId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7">
    <xf numFmtId="0" fontId="0" fillId="0" borderId="0" xfId="0"/>
    <xf numFmtId="0" fontId="2" fillId="2" borderId="0" xfId="0" applyFont="1" applyFill="1"/>
    <xf numFmtId="0" fontId="6" fillId="2" borderId="0" xfId="0" applyFont="1" applyFill="1" applyAlignment="1">
      <alignment horizontal="center"/>
    </xf>
    <xf numFmtId="0" fontId="3" fillId="2" borderId="0" xfId="0" applyFont="1" applyFill="1" applyAlignment="1">
      <alignment vertical="top" wrapText="1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centerContinuous" vertical="center"/>
    </xf>
    <xf numFmtId="0" fontId="6" fillId="2" borderId="0" xfId="0" applyFont="1" applyFill="1" applyAlignment="1">
      <alignment horizontal="center" vertical="distributed"/>
    </xf>
    <xf numFmtId="0" fontId="0" fillId="2" borderId="0" xfId="0" applyFill="1"/>
    <xf numFmtId="0" fontId="5" fillId="3" borderId="0" xfId="1" applyFont="1" applyFill="1"/>
    <xf numFmtId="0" fontId="5" fillId="3" borderId="0" xfId="1" applyFont="1" applyFill="1" applyAlignment="1">
      <alignment horizontal="centerContinuous" vertical="center"/>
    </xf>
    <xf numFmtId="0" fontId="5" fillId="3" borderId="0" xfId="1" applyFont="1" applyFill="1" applyAlignment="1">
      <alignment horizontal="center"/>
    </xf>
    <xf numFmtId="164" fontId="5" fillId="3" borderId="0" xfId="1" applyNumberFormat="1" applyFont="1" applyFill="1" applyAlignment="1">
      <alignment horizontal="center"/>
    </xf>
    <xf numFmtId="0" fontId="4" fillId="3" borderId="2" xfId="0" applyFont="1" applyFill="1" applyBorder="1" applyAlignment="1">
      <alignment horizontal="centerContinuous" vertical="center" wrapText="1"/>
    </xf>
    <xf numFmtId="0" fontId="4" fillId="3" borderId="0" xfId="0" applyFont="1" applyFill="1" applyBorder="1" applyAlignment="1">
      <alignment horizontal="centerContinuous" vertical="center" wrapText="1"/>
    </xf>
    <xf numFmtId="0" fontId="4" fillId="3" borderId="0" xfId="0" applyFont="1" applyFill="1" applyBorder="1" applyAlignment="1">
      <alignment horizontal="center" vertical="center" wrapText="1"/>
    </xf>
    <xf numFmtId="164" fontId="4" fillId="3" borderId="1" xfId="2" applyFont="1" applyFill="1" applyBorder="1" applyAlignment="1">
      <alignment horizontal="right" wrapText="1"/>
    </xf>
    <xf numFmtId="164" fontId="4" fillId="3" borderId="3" xfId="2" applyFont="1" applyFill="1" applyBorder="1" applyAlignment="1">
      <alignment horizontal="right" wrapText="1"/>
    </xf>
    <xf numFmtId="164" fontId="5" fillId="3" borderId="3" xfId="2" applyFont="1" applyFill="1" applyBorder="1" applyAlignment="1">
      <alignment horizontal="right" wrapText="1"/>
    </xf>
    <xf numFmtId="164" fontId="4" fillId="3" borderId="4" xfId="2" applyFont="1" applyFill="1" applyBorder="1"/>
    <xf numFmtId="164" fontId="4" fillId="3" borderId="5" xfId="2" applyFont="1" applyFill="1" applyBorder="1" applyAlignment="1">
      <alignment horizontal="right" wrapText="1"/>
    </xf>
    <xf numFmtId="0" fontId="2" fillId="2" borderId="0" xfId="0" applyFont="1" applyFill="1" applyAlignment="1">
      <alignment vertical="top" wrapText="1"/>
    </xf>
    <xf numFmtId="164" fontId="5" fillId="3" borderId="0" xfId="2" applyFont="1" applyFill="1" applyBorder="1" applyAlignment="1">
      <alignment horizontal="right" wrapText="1"/>
    </xf>
    <xf numFmtId="165" fontId="2" fillId="2" borderId="0" xfId="0" applyNumberFormat="1" applyFont="1" applyFill="1" applyAlignment="1">
      <alignment vertical="top" wrapText="1"/>
    </xf>
    <xf numFmtId="165" fontId="4" fillId="3" borderId="0" xfId="0" applyNumberFormat="1" applyFont="1" applyFill="1" applyBorder="1" applyAlignment="1">
      <alignment horizontal="centerContinuous" vertical="center" wrapText="1"/>
    </xf>
    <xf numFmtId="165" fontId="2" fillId="2" borderId="0" xfId="0" applyNumberFormat="1" applyFont="1" applyFill="1" applyAlignment="1">
      <alignment horizontal="centerContinuous" vertical="center"/>
    </xf>
    <xf numFmtId="165" fontId="5" fillId="3" borderId="0" xfId="1" applyNumberFormat="1" applyFont="1" applyFill="1"/>
    <xf numFmtId="165" fontId="2" fillId="2" borderId="0" xfId="0" applyNumberFormat="1" applyFont="1" applyFill="1"/>
    <xf numFmtId="0" fontId="1" fillId="2" borderId="0" xfId="0" applyFont="1" applyFill="1"/>
    <xf numFmtId="164" fontId="2" fillId="2" borderId="0" xfId="0" applyNumberFormat="1" applyFont="1" applyFill="1"/>
    <xf numFmtId="165" fontId="0" fillId="2" borderId="0" xfId="0" applyNumberFormat="1" applyFill="1"/>
    <xf numFmtId="164" fontId="0" fillId="2" borderId="0" xfId="2" applyFont="1" applyFill="1"/>
    <xf numFmtId="0" fontId="4" fillId="2" borderId="0" xfId="0" applyFont="1" applyFill="1" applyAlignment="1">
      <alignment vertical="center"/>
    </xf>
    <xf numFmtId="0" fontId="11" fillId="2" borderId="0" xfId="0" applyFont="1" applyFill="1"/>
    <xf numFmtId="0" fontId="1" fillId="0" borderId="0" xfId="0" applyFont="1" applyAlignment="1">
      <alignment horizontal="justify" vertical="center" wrapText="1" readingOrder="1"/>
    </xf>
    <xf numFmtId="49" fontId="1" fillId="0" borderId="0" xfId="0" applyNumberFormat="1" applyFont="1" applyAlignment="1">
      <alignment horizontal="justify" vertical="center" wrapText="1" readingOrder="1"/>
    </xf>
    <xf numFmtId="0" fontId="1" fillId="0" borderId="15" xfId="0" applyFont="1" applyBorder="1" applyAlignment="1">
      <alignment horizontal="justify" vertical="center" wrapText="1" readingOrder="1"/>
    </xf>
    <xf numFmtId="0" fontId="1" fillId="0" borderId="18" xfId="0" applyFont="1" applyBorder="1" applyAlignment="1">
      <alignment horizontal="justify" vertical="center" wrapText="1" readingOrder="1"/>
    </xf>
    <xf numFmtId="0" fontId="1" fillId="0" borderId="19" xfId="0" applyFont="1" applyBorder="1" applyAlignment="1">
      <alignment horizontal="justify" vertical="center" wrapText="1" readingOrder="1"/>
    </xf>
    <xf numFmtId="9" fontId="1" fillId="0" borderId="20" xfId="0" applyNumberFormat="1" applyFont="1" applyBorder="1" applyAlignment="1">
      <alignment horizontal="justify" vertical="center" wrapText="1" readingOrder="1"/>
    </xf>
    <xf numFmtId="0" fontId="1" fillId="0" borderId="21" xfId="0" applyFont="1" applyBorder="1" applyAlignment="1">
      <alignment horizontal="justify" vertical="center" wrapText="1" readingOrder="1"/>
    </xf>
    <xf numFmtId="9" fontId="1" fillId="0" borderId="22" xfId="0" applyNumberFormat="1" applyFont="1" applyBorder="1" applyAlignment="1">
      <alignment horizontal="justify" vertical="center" wrapText="1" readingOrder="1"/>
    </xf>
    <xf numFmtId="0" fontId="1" fillId="0" borderId="9" xfId="0" applyFont="1" applyBorder="1" applyAlignment="1">
      <alignment horizontal="justify" vertical="center" wrapText="1" readingOrder="1"/>
    </xf>
    <xf numFmtId="0" fontId="1" fillId="0" borderId="20" xfId="0" applyFont="1" applyBorder="1" applyAlignment="1">
      <alignment horizontal="justify" vertical="center" wrapText="1" readingOrder="1"/>
    </xf>
    <xf numFmtId="0" fontId="1" fillId="0" borderId="25" xfId="0" applyFont="1" applyBorder="1" applyAlignment="1">
      <alignment horizontal="justify" vertical="center" wrapText="1" readingOrder="1"/>
    </xf>
    <xf numFmtId="4" fontId="1" fillId="0" borderId="8" xfId="0" applyNumberFormat="1" applyFont="1" applyBorder="1" applyAlignment="1">
      <alignment horizontal="justify" vertical="center" wrapText="1" readingOrder="1"/>
    </xf>
    <xf numFmtId="4" fontId="1" fillId="0" borderId="20" xfId="0" applyNumberFormat="1" applyFont="1" applyBorder="1" applyAlignment="1">
      <alignment horizontal="justify" vertical="center" wrapText="1" readingOrder="1"/>
    </xf>
    <xf numFmtId="4" fontId="1" fillId="0" borderId="9" xfId="0" applyNumberFormat="1" applyFont="1" applyBorder="1" applyAlignment="1">
      <alignment horizontal="justify" vertical="center" wrapText="1" readingOrder="1"/>
    </xf>
    <xf numFmtId="4" fontId="1" fillId="0" borderId="7" xfId="0" applyNumberFormat="1" applyFont="1" applyBorder="1" applyAlignment="1">
      <alignment horizontal="justify" vertical="center" wrapText="1" readingOrder="1"/>
    </xf>
    <xf numFmtId="0" fontId="1" fillId="0" borderId="8" xfId="0" applyFont="1" applyBorder="1" applyAlignment="1">
      <alignment horizontal="justify" vertical="center" wrapText="1" readingOrder="1"/>
    </xf>
    <xf numFmtId="0" fontId="1" fillId="0" borderId="26" xfId="0" applyFont="1" applyBorder="1" applyAlignment="1">
      <alignment horizontal="justify" vertical="center" wrapText="1" readingOrder="1"/>
    </xf>
    <xf numFmtId="4" fontId="1" fillId="0" borderId="6" xfId="0" applyNumberFormat="1" applyFont="1" applyBorder="1" applyAlignment="1">
      <alignment horizontal="justify" vertical="center" wrapText="1" readingOrder="1"/>
    </xf>
    <xf numFmtId="4" fontId="1" fillId="0" borderId="11" xfId="0" applyNumberFormat="1" applyFont="1" applyBorder="1" applyAlignment="1">
      <alignment horizontal="justify" vertical="center" wrapText="1" readingOrder="1"/>
    </xf>
    <xf numFmtId="0" fontId="1" fillId="0" borderId="11" xfId="0" applyFont="1" applyBorder="1" applyAlignment="1">
      <alignment horizontal="justify" vertical="center" wrapText="1" readingOrder="1"/>
    </xf>
    <xf numFmtId="4" fontId="1" fillId="0" borderId="22" xfId="0" applyNumberFormat="1" applyFont="1" applyBorder="1" applyAlignment="1">
      <alignment horizontal="justify" vertical="center" wrapText="1" readingOrder="1"/>
    </xf>
    <xf numFmtId="0" fontId="1" fillId="0" borderId="31" xfId="0" applyFont="1" applyBorder="1" applyAlignment="1">
      <alignment horizontal="justify" vertical="center" wrapText="1" readingOrder="1"/>
    </xf>
    <xf numFmtId="0" fontId="1" fillId="0" borderId="32" xfId="0" applyFont="1" applyBorder="1" applyAlignment="1">
      <alignment horizontal="justify" vertical="center" wrapText="1" readingOrder="1"/>
    </xf>
    <xf numFmtId="0" fontId="1" fillId="0" borderId="24" xfId="0" applyFont="1" applyBorder="1" applyAlignment="1">
      <alignment horizontal="justify" vertical="center" wrapText="1" readingOrder="1"/>
    </xf>
    <xf numFmtId="0" fontId="1" fillId="0" borderId="33" xfId="0" applyFont="1" applyBorder="1" applyAlignment="1">
      <alignment horizontal="justify" vertical="center" wrapText="1" readingOrder="1"/>
    </xf>
    <xf numFmtId="4" fontId="1" fillId="0" borderId="12" xfId="0" applyNumberFormat="1" applyFont="1" applyBorder="1" applyAlignment="1">
      <alignment horizontal="justify" vertical="center" wrapText="1" readingOrder="1"/>
    </xf>
    <xf numFmtId="0" fontId="1" fillId="0" borderId="12" xfId="0" applyFont="1" applyBorder="1" applyAlignment="1">
      <alignment horizontal="justify" vertical="center" wrapText="1" readingOrder="1"/>
    </xf>
    <xf numFmtId="4" fontId="1" fillId="0" borderId="34" xfId="0" applyNumberFormat="1" applyFont="1" applyBorder="1" applyAlignment="1">
      <alignment horizontal="justify" vertical="center" wrapText="1" readingOrder="1"/>
    </xf>
    <xf numFmtId="0" fontId="1" fillId="4" borderId="13" xfId="0" applyFont="1" applyFill="1" applyBorder="1" applyAlignment="1">
      <alignment horizontal="justify" vertical="center" wrapText="1" readingOrder="1"/>
    </xf>
    <xf numFmtId="0" fontId="1" fillId="4" borderId="0" xfId="0" applyFont="1" applyFill="1" applyAlignment="1">
      <alignment horizontal="justify" vertical="center" wrapText="1" readingOrder="1"/>
    </xf>
    <xf numFmtId="0" fontId="1" fillId="4" borderId="35" xfId="0" applyFont="1" applyFill="1" applyBorder="1" applyAlignment="1">
      <alignment horizontal="justify" vertical="center" wrapText="1" readingOrder="1"/>
    </xf>
    <xf numFmtId="4" fontId="1" fillId="4" borderId="18" xfId="0" applyNumberFormat="1" applyFont="1" applyFill="1" applyBorder="1" applyAlignment="1">
      <alignment horizontal="justify" vertical="center" wrapText="1" readingOrder="1"/>
    </xf>
    <xf numFmtId="0" fontId="1" fillId="4" borderId="22" xfId="0" applyFont="1" applyFill="1" applyBorder="1" applyAlignment="1">
      <alignment horizontal="justify" vertical="center" wrapText="1" readingOrder="1"/>
    </xf>
    <xf numFmtId="4" fontId="1" fillId="4" borderId="22" xfId="0" applyNumberFormat="1" applyFont="1" applyFill="1" applyBorder="1" applyAlignment="1">
      <alignment horizontal="justify" vertical="center" wrapText="1" readingOrder="1"/>
    </xf>
    <xf numFmtId="0" fontId="1" fillId="4" borderId="11" xfId="0" applyFont="1" applyFill="1" applyBorder="1" applyAlignment="1">
      <alignment horizontal="justify" vertical="center" wrapText="1" readingOrder="1"/>
    </xf>
    <xf numFmtId="0" fontId="1" fillId="4" borderId="7" xfId="0" applyFont="1" applyFill="1" applyBorder="1" applyAlignment="1">
      <alignment horizontal="justify" vertical="center" wrapText="1" readingOrder="1"/>
    </xf>
    <xf numFmtId="0" fontId="1" fillId="4" borderId="8" xfId="0" applyFont="1" applyFill="1" applyBorder="1" applyAlignment="1">
      <alignment horizontal="justify" vertical="center" wrapText="1" readingOrder="1"/>
    </xf>
    <xf numFmtId="0" fontId="1" fillId="4" borderId="9" xfId="0" applyFont="1" applyFill="1" applyBorder="1" applyAlignment="1">
      <alignment horizontal="justify" vertical="center" wrapText="1" readingOrder="1"/>
    </xf>
    <xf numFmtId="4" fontId="1" fillId="4" borderId="8" xfId="0" applyNumberFormat="1" applyFont="1" applyFill="1" applyBorder="1" applyAlignment="1">
      <alignment horizontal="justify" vertical="center" wrapText="1" readingOrder="1"/>
    </xf>
    <xf numFmtId="0" fontId="1" fillId="4" borderId="6" xfId="0" applyFont="1" applyFill="1" applyBorder="1" applyAlignment="1">
      <alignment horizontal="justify" vertical="center" wrapText="1" readingOrder="1"/>
    </xf>
    <xf numFmtId="0" fontId="1" fillId="4" borderId="16" xfId="0" applyFont="1" applyFill="1" applyBorder="1" applyAlignment="1">
      <alignment horizontal="justify" vertical="center" wrapText="1" readingOrder="1"/>
    </xf>
    <xf numFmtId="0" fontId="1" fillId="4" borderId="15" xfId="0" applyFont="1" applyFill="1" applyBorder="1" applyAlignment="1">
      <alignment horizontal="justify" vertical="center" wrapText="1" readingOrder="1"/>
    </xf>
    <xf numFmtId="0" fontId="1" fillId="4" borderId="31" xfId="0" applyFont="1" applyFill="1" applyBorder="1" applyAlignment="1">
      <alignment horizontal="justify" vertical="center" wrapText="1" readingOrder="1"/>
    </xf>
    <xf numFmtId="0" fontId="1" fillId="4" borderId="32" xfId="0" applyFont="1" applyFill="1" applyBorder="1" applyAlignment="1">
      <alignment horizontal="justify" vertical="center" wrapText="1" readingOrder="1"/>
    </xf>
    <xf numFmtId="0" fontId="1" fillId="4" borderId="24" xfId="0" applyFont="1" applyFill="1" applyBorder="1" applyAlignment="1">
      <alignment horizontal="justify" vertical="center" wrapText="1" readingOrder="1"/>
    </xf>
    <xf numFmtId="0" fontId="1" fillId="4" borderId="33" xfId="0" applyFont="1" applyFill="1" applyBorder="1" applyAlignment="1">
      <alignment horizontal="justify" vertical="center" wrapText="1" readingOrder="1"/>
    </xf>
    <xf numFmtId="4" fontId="1" fillId="4" borderId="12" xfId="0" applyNumberFormat="1" applyFont="1" applyFill="1" applyBorder="1" applyAlignment="1">
      <alignment horizontal="justify" vertical="center" wrapText="1" readingOrder="1"/>
    </xf>
    <xf numFmtId="0" fontId="1" fillId="4" borderId="34" xfId="0" applyFont="1" applyFill="1" applyBorder="1" applyAlignment="1">
      <alignment horizontal="justify" vertical="center" wrapText="1" readingOrder="1"/>
    </xf>
    <xf numFmtId="0" fontId="1" fillId="4" borderId="21" xfId="0" applyFont="1" applyFill="1" applyBorder="1" applyAlignment="1">
      <alignment horizontal="justify" vertical="center" wrapText="1" readingOrder="1"/>
    </xf>
    <xf numFmtId="10" fontId="1" fillId="4" borderId="11" xfId="0" applyNumberFormat="1" applyFont="1" applyFill="1" applyBorder="1" applyAlignment="1">
      <alignment horizontal="justify" vertical="center" wrapText="1" readingOrder="1"/>
    </xf>
    <xf numFmtId="9" fontId="1" fillId="4" borderId="11" xfId="0" applyNumberFormat="1" applyFont="1" applyFill="1" applyBorder="1" applyAlignment="1">
      <alignment horizontal="justify" vertical="center" wrapText="1" readingOrder="1"/>
    </xf>
    <xf numFmtId="0" fontId="1" fillId="0" borderId="23" xfId="0" applyFont="1" applyBorder="1" applyAlignment="1">
      <alignment horizontal="justify" vertical="center" wrapText="1" readingOrder="1"/>
    </xf>
    <xf numFmtId="0" fontId="1" fillId="0" borderId="10" xfId="0" applyFont="1" applyBorder="1" applyAlignment="1">
      <alignment horizontal="justify" vertical="center" wrapText="1" readingOrder="1"/>
    </xf>
    <xf numFmtId="0" fontId="1" fillId="0" borderId="14" xfId="0" applyFont="1" applyBorder="1" applyAlignment="1">
      <alignment horizontal="justify" vertical="center" wrapText="1" readingOrder="1"/>
    </xf>
    <xf numFmtId="0" fontId="1" fillId="0" borderId="27" xfId="0" applyFont="1" applyBorder="1" applyAlignment="1">
      <alignment horizontal="justify" vertical="center" wrapText="1" readingOrder="1"/>
    </xf>
    <xf numFmtId="0" fontId="1" fillId="0" borderId="28" xfId="0" applyFont="1" applyBorder="1" applyAlignment="1">
      <alignment horizontal="justify" vertical="center" wrapText="1" readingOrder="1"/>
    </xf>
    <xf numFmtId="0" fontId="1" fillId="0" borderId="17" xfId="0" applyFont="1" applyBorder="1" applyAlignment="1">
      <alignment horizontal="justify" vertical="center" wrapText="1" readingOrder="1"/>
    </xf>
    <xf numFmtId="0" fontId="1" fillId="0" borderId="29" xfId="0" applyFont="1" applyBorder="1" applyAlignment="1">
      <alignment horizontal="justify" vertical="center" wrapText="1" readingOrder="1"/>
    </xf>
    <xf numFmtId="0" fontId="1" fillId="0" borderId="30" xfId="0" applyFont="1" applyBorder="1" applyAlignment="1">
      <alignment horizontal="justify" vertical="center" wrapText="1" readingOrder="1"/>
    </xf>
    <xf numFmtId="4" fontId="1" fillId="4" borderId="27" xfId="0" applyNumberFormat="1" applyFont="1" applyFill="1" applyBorder="1" applyAlignment="1">
      <alignment horizontal="justify" vertical="center" wrapText="1" readingOrder="1"/>
    </xf>
    <xf numFmtId="4" fontId="1" fillId="4" borderId="14" xfId="0" applyNumberFormat="1" applyFont="1" applyFill="1" applyBorder="1" applyAlignment="1">
      <alignment horizontal="justify" vertical="center" wrapText="1" readingOrder="1"/>
    </xf>
    <xf numFmtId="49" fontId="1" fillId="0" borderId="0" xfId="0" applyNumberFormat="1" applyFont="1" applyAlignment="1">
      <alignment vertical="center" readingOrder="1"/>
    </xf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4" fillId="4" borderId="36" xfId="0" applyFont="1" applyFill="1" applyBorder="1" applyAlignment="1">
      <alignment horizontal="center" vertical="center" wrapText="1"/>
    </xf>
    <xf numFmtId="0" fontId="4" fillId="4" borderId="37" xfId="0" applyFont="1" applyFill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4" fillId="4" borderId="39" xfId="0" applyFont="1" applyFill="1" applyBorder="1" applyAlignment="1">
      <alignment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165" fontId="4" fillId="4" borderId="12" xfId="2" applyNumberFormat="1" applyFont="1" applyFill="1" applyBorder="1" applyAlignment="1">
      <alignment horizontal="center" vertical="center" wrapText="1"/>
    </xf>
    <xf numFmtId="165" fontId="4" fillId="4" borderId="37" xfId="2" applyNumberFormat="1" applyFont="1" applyFill="1" applyBorder="1" applyAlignment="1">
      <alignment horizontal="center" vertical="center" wrapText="1"/>
    </xf>
    <xf numFmtId="0" fontId="4" fillId="4" borderId="41" xfId="0" applyFont="1" applyFill="1" applyBorder="1" applyAlignment="1">
      <alignment vertical="center" wrapText="1"/>
    </xf>
    <xf numFmtId="0" fontId="4" fillId="4" borderId="38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5" fillId="4" borderId="38" xfId="0" applyFont="1" applyFill="1" applyBorder="1" applyAlignment="1">
      <alignment vertical="center" wrapText="1"/>
    </xf>
    <xf numFmtId="0" fontId="9" fillId="4" borderId="38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/>
    </xf>
    <xf numFmtId="0" fontId="4" fillId="4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vertical="center"/>
    </xf>
    <xf numFmtId="0" fontId="4" fillId="4" borderId="36" xfId="0" applyFont="1" applyFill="1" applyBorder="1" applyAlignment="1">
      <alignment vertical="center" wrapText="1"/>
    </xf>
    <xf numFmtId="0" fontId="5" fillId="4" borderId="42" xfId="0" applyFont="1" applyFill="1" applyBorder="1" applyAlignment="1">
      <alignment vertical="center" wrapText="1"/>
    </xf>
    <xf numFmtId="0" fontId="10" fillId="4" borderId="8" xfId="0" applyFont="1" applyFill="1" applyBorder="1" applyAlignment="1">
      <alignment vertical="center" wrapText="1"/>
    </xf>
    <xf numFmtId="0" fontId="1" fillId="4" borderId="0" xfId="0" applyFont="1" applyFill="1" applyAlignment="1">
      <alignment vertical="center"/>
    </xf>
    <xf numFmtId="0" fontId="10" fillId="4" borderId="42" xfId="0" applyFont="1" applyFill="1" applyBorder="1" applyAlignment="1">
      <alignment vertical="center" wrapText="1"/>
    </xf>
    <xf numFmtId="0" fontId="9" fillId="4" borderId="42" xfId="0" applyFont="1" applyFill="1" applyBorder="1" applyAlignment="1">
      <alignment vertical="center" wrapText="1"/>
    </xf>
    <xf numFmtId="165" fontId="4" fillId="4" borderId="36" xfId="2" applyNumberFormat="1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165" fontId="4" fillId="4" borderId="36" xfId="2" applyNumberFormat="1" applyFont="1" applyFill="1" applyBorder="1" applyAlignment="1">
      <alignment horizontal="right" vertical="center" wrapText="1"/>
    </xf>
    <xf numFmtId="165" fontId="5" fillId="4" borderId="42" xfId="2" applyNumberFormat="1" applyFont="1" applyFill="1" applyBorder="1" applyAlignment="1">
      <alignment horizontal="right" vertical="center" wrapText="1"/>
    </xf>
    <xf numFmtId="165" fontId="5" fillId="4" borderId="8" xfId="2" applyNumberFormat="1" applyFont="1" applyFill="1" applyBorder="1" applyAlignment="1">
      <alignment horizontal="right" vertical="center" wrapText="1"/>
    </xf>
    <xf numFmtId="165" fontId="4" fillId="4" borderId="9" xfId="2" applyNumberFormat="1" applyFont="1" applyFill="1" applyBorder="1" applyAlignment="1">
      <alignment horizontal="right" vertical="center" wrapText="1"/>
    </xf>
    <xf numFmtId="165" fontId="5" fillId="4" borderId="9" xfId="2" applyNumberFormat="1" applyFont="1" applyFill="1" applyBorder="1" applyAlignment="1">
      <alignment horizontal="right" vertical="center" wrapText="1"/>
    </xf>
    <xf numFmtId="165" fontId="4" fillId="4" borderId="40" xfId="2" applyNumberFormat="1" applyFont="1" applyFill="1" applyBorder="1" applyAlignment="1">
      <alignment vertical="center" wrapText="1"/>
    </xf>
    <xf numFmtId="165" fontId="4" fillId="4" borderId="8" xfId="2" applyNumberFormat="1" applyFont="1" applyFill="1" applyBorder="1" applyAlignment="1">
      <alignment horizontal="right" vertical="center" wrapText="1"/>
    </xf>
    <xf numFmtId="165" fontId="4" fillId="4" borderId="12" xfId="2" applyNumberFormat="1" applyFont="1" applyFill="1" applyBorder="1" applyAlignment="1">
      <alignment horizontal="right" vertical="center" wrapText="1"/>
    </xf>
    <xf numFmtId="165" fontId="9" fillId="4" borderId="9" xfId="2" applyNumberFormat="1" applyFont="1" applyFill="1" applyBorder="1" applyAlignment="1">
      <alignment horizontal="right" vertical="center" wrapText="1"/>
    </xf>
    <xf numFmtId="165" fontId="5" fillId="4" borderId="12" xfId="2" applyNumberFormat="1" applyFont="1" applyFill="1" applyBorder="1" applyAlignment="1">
      <alignment horizontal="right" vertical="center" wrapText="1"/>
    </xf>
    <xf numFmtId="165" fontId="9" fillId="4" borderId="8" xfId="2" applyNumberFormat="1" applyFont="1" applyFill="1" applyBorder="1" applyAlignment="1">
      <alignment horizontal="right" vertical="center"/>
    </xf>
    <xf numFmtId="165" fontId="5" fillId="4" borderId="38" xfId="2" applyNumberFormat="1" applyFont="1" applyFill="1" applyBorder="1" applyAlignment="1">
      <alignment horizontal="right" vertical="center" wrapText="1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 wrapText="1"/>
    </xf>
    <xf numFmtId="0" fontId="4" fillId="4" borderId="0" xfId="0" applyFont="1" applyFill="1" applyBorder="1" applyAlignment="1">
      <alignment horizontal="center" vertical="center" wrapText="1"/>
    </xf>
  </cellXfs>
  <cellStyles count="9">
    <cellStyle name="Normal" xfId="0" builtinId="0"/>
    <cellStyle name="Normal 2" xfId="5"/>
    <cellStyle name="Normal_apae 2009 segragado" xfId="1"/>
    <cellStyle name="Separador de milhares 2" xfId="3"/>
    <cellStyle name="Separador de milhares 2 2" xfId="4"/>
    <cellStyle name="Separador de milhares 2 2 2" xfId="8"/>
    <cellStyle name="Separador de milhares 2 3" xfId="7"/>
    <cellStyle name="Vírgula" xfId="2" builtinId="3"/>
    <cellStyle name="Vírgula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schemas.microsoft.com/office/2006/xmlPackage' xmlns:ns2='urn:schemas-microsoft-com:vml' xmlns:ns3='urn:schemas-microsoft-com:office:office' xmlns:ns4='http://www.w3.org/XML/1998/namespace' xmlns:ns5='http://schemas.openxmlformats.org/wordprocessingml/2006/main' xmlns:ns6='http://schemas.openxmlformats.org/package/2006/relationships' xmlns:ns7='http://schemas.openxmlformats.org/package/2006/metadata/core-properties' xmlns:ns8='http://schemas.openxmlformats.org/officeDocument/2006/math' xmlns:ns9='http://schemas.openxmlformats.org/officeDocument/2006/extended-properties' xmlns:ns10='http://schemas.openxmlformats.org/officeDocument/2006/docPropsVTypes' xmlns:ns11='http://schemas.openxmlformats.org/officeDocument/2006/customXml' xmlns:ns12='http://schemas.openxmlformats.org/officeDocument/2006/bibliography' xmlns:ns13='http://schemas.openxmlformats.org/markup-compatibility/2006' xmlns:ns14='http://schemas.openxmlformats.org/drawingml/2006/main' xmlns:ns15='http://schemas.microsoft.com/office/word/2012/wordml' xmlns:ns16='http://schemas.microsoft.com/office/word/2010/wordml' xmlns:ns17='http://schemas.microsoft.com/office/thememl/2012/main' xmlns:ns18='http://purl.org/dc/terms/' xmlns:ns19='http://purl.org/dc/elements/1.1/'">
  <Schema ID="Schema1" Namespace="urn:schemas-microsoft-com:vml">
    <xsd:schema xmlns:xsd="http://www.w3.org/2001/XMLSchema" xmlns:ns0="urn:schemas-microsoft-com:vml" xmlns="" targetNamespace="urn:schemas-microsoft-com:vml">
      <xsd:attribute name="ext" type="xsd:string"/>
    </xsd:schema>
  </Schema>
  <Schema ID="Schema2" Namespace="urn:schemas-microsoft-com:office:office">
    <xsd:schema xmlns:xsd="http://www.w3.org/2001/XMLSchema" xmlns:ns0="urn:schemas-microsoft-com:vml" xmlns:ns1="urn:schemas-microsoft-com:office:office" xmlns="" targetNamespace="urn:schemas-microsoft-com:office:office">
      <xsd:import namespace="urn:schemas-microsoft-com:vml"/>
      <xsd:element nillable="true" name="shapedefaults">
        <xsd:complexType>
          <xsd:attribute ref="ns0:ext"/>
          <xsd:attribute name="spidmax" form="unqualified" type="xsd:integer"/>
        </xsd:complexType>
      </xsd:element>
      <xsd:element nillable="true" name="shapelayout">
        <xsd:complexType>
          <xsd:sequence minOccurs="0">
            <xsd:element minOccurs="0" nillable="true" name="idmap" form="qualified">
              <xsd:complexType>
                <xsd:attribute ref="ns0:ext"/>
                <xsd:attribute name="data" form="unqualified" type="xsd:integer"/>
              </xsd:complexType>
            </xsd:element>
          </xsd:sequence>
          <xsd:attribute ref="ns0:ext"/>
        </xsd:complexType>
      </xsd:element>
    </xsd:schema>
  </Schema>
  <Schema ID="Schema3" Namespace="http://www.w3.org/XML/1998/namespace">
    <xsd:schema xmlns:xsd="http://www.w3.org/2001/XMLSchema" xmlns:xml="http://www.w3.org/XML/1998/namespace" xmlns="" targetNamespace="http://www.w3.org/XML/1998/namespace">
      <xsd:attribute name="space" type="xsd:string"/>
    </xsd:schema>
  </Schema>
  <Schema ID="Schema4" Namespace="http://schemas.openxmlformats.org/wordprocessingml/2006/main">
    <xsd:schema xmlns:xsd="http://www.w3.org/2001/XMLSchema" xmlns:ns0="urn:schemas-microsoft-com:office:office" xmlns:xml="http://www.w3.org/XML/1998/namespace" xmlns:ns2="http://schemas.openxmlformats.org/wordprocessingml/2006/main" xmlns:ns3="http://schemas.openxmlformats.org/officeDocument/2006/math" xmlns:ns4="http://schemas.openxmlformats.org/markup-compatibility/2006" xmlns:ns5="http://schemas.microsoft.com/office/word/2012/wordml" xmlns:ns6="http://schemas.microsoft.com/office/word/2010/wordml" xmlns="" targetNamespace="http://schemas.openxmlformats.org/wordprocessingml/2006/main">
      <xsd:import namespace="urn:schemas-microsoft-com:office:office"/>
      <xsd:import namespace="http://www.w3.org/XML/1998/namespace"/>
      <xsd:import namespace="http://schemas.openxmlformats.org/officeDocument/2006/math"/>
      <xsd:import namespace="http://schemas.openxmlformats.org/markup-compatibility/2006"/>
      <xsd:import namespace="http://schemas.microsoft.com/office/word/2012/wordml"/>
      <xsd:import namespace="http://schemas.microsoft.com/office/word/2010/wordml"/>
      <xsd:element nillable="true" name="document">
        <xsd:complexType>
          <xsd:sequence minOccurs="0">
            <xsd:element minOccurs="0" nillable="true" name="body" form="qualified">
              <xsd:complexType>
                <xsd:sequence minOccurs="0" maxOccurs="unbounded">
                  <xsd:element minOccurs="0" maxOccurs="unbounded" nillable="true" name="p" form="qualified">
                    <xsd:complexType>
                      <xsd:sequence minOccurs="0" maxOccurs="unbounded">
                        <xsd:element minOccurs="0" nillable="true" name="pPr" form="qualified">
                          <xsd:complexType>
                            <xsd:all>
                              <xsd:element minOccurs="0" nillable="true" name="rPr" form="qualified">
                                <xsd:complexType>
                                  <xsd:all>
                                    <xsd:element minOccurs="0" nillable="true" name="rFonts" form="qualified">
                                      <xsd:complexType>
                                        <xsd:attribute ref="ns2:ascii"/>
                                        <xsd:attribute ref="ns2:hAnsi"/>
                                        <xsd:attribute ref="ns2:cs"/>
                                      </xsd:complexType>
                                    </xsd:element>
                                    <xsd:element minOccurs="0" nillable="true" type="xsd:string" name="b" form="qualified"/>
                                    <xsd:element minOccurs="0" nillable="true" name="sz" form="qualified">
                                      <xsd:complexType>
                                        <xsd:attribute ref="ns2:val"/>
                                      </xsd:complexType>
                                    </xsd:element>
                                    <xsd:element minOccurs="0" nillable="true" name="szCs" form="qualified">
                                      <xsd:complexType>
                                        <xsd:attribute ref="ns2:val"/>
                                      </xsd:complexType>
                                    </xsd:element>
                                    <xsd:element minOccurs="0" nillable="true" name="color" form="qualified">
                                      <xsd:complexType>
                                        <xsd:attribute ref="ns2:val"/>
                                      </xsd:complexType>
                                    </xsd:element>
                                  </xsd:all>
                                </xsd:complexType>
                              </xsd:element>
                              <xsd:element minOccurs="0" nillable="true" name="jc" form="qualified">
                                <xsd:complexType>
                                  <xsd:attribute ref="ns2:val"/>
                                </xsd:complexType>
                              </xsd:element>
                              <xsd:element minOccurs="0" nillable="true" name="pStyle" form="qualified">
                                <xsd:complexType>
                                  <xsd:attribute ref="ns2:val"/>
                                </xsd:complexType>
                              </xsd:element>
                              <xsd:element minOccurs="0" nillable="true" name="ind" form="qualified">
                                <xsd:complexType>
                                  <xsd:attribute ref="ns2:firstLine"/>
                                </xsd:complexType>
                              </xsd:element>
                            </xsd:all>
                          </xsd:complexType>
                        </xsd:element>
                        <xsd:element minOccurs="0" nillable="true" name="bookmarkStart" form="qualified">
                          <xsd:complexType>
                            <xsd:attribute ref="ns2:id"/>
                            <xsd:attribute ref="ns2:name"/>
                          </xsd:complexType>
                        </xsd:element>
                        <xsd:element minOccurs="0" nillable="true" name="bookmarkEnd" form="qualified">
                          <xsd:complexType>
                            <xsd:attribute ref="ns2:id"/>
                          </xsd:complexType>
                        </xsd:element>
                        <xsd:element minOccurs="0" maxOccurs="unbounded" nillable="true" name="r" form="qualified">
                          <xsd:complexType>
                            <xsd:all>
                              <xsd:element minOccurs="0" nillable="true" name="rPr" form="qualified">
                                <xsd:complexType>
                                  <xsd:all>
                                    <xsd:element minOccurs="0" nillable="true" name="rFonts" form="qualified">
                                      <xsd:complexType>
                                        <xsd:attribute ref="ns2:ascii"/>
                                        <xsd:attribute ref="ns2:hAnsi"/>
                                        <xsd:attribute ref="ns2:cs"/>
                                      </xsd:complexType>
                                    </xsd:element>
                                    <xsd:element minOccurs="0" nillable="true" type="xsd:string" name="b" form="qualified"/>
                                    <xsd:element minOccurs="0" nillable="true" name="sz" form="qualified">
                                      <xsd:complexType>
                                        <xsd:attribute ref="ns2:val"/>
                                      </xsd:complexType>
                                    </xsd:element>
                                    <xsd:element minOccurs="0" nillable="true" name="szCs" form="qualified">
                                      <xsd:complexType>
                                        <xsd:attribute ref="ns2:val"/>
                                      </xsd:complexType>
                                    </xsd:element>
                                    <xsd:element minOccurs="0" nillable="true" name="color" form="qualified">
                                      <xsd:complexType>
                                        <xsd:attribute ref="ns2:val"/>
                                      </xsd:complexType>
                                    </xsd:element>
                                    <xsd:element minOccurs="0" nillable="true" name="u" form="qualified">
                                      <xsd:complexType>
                                        <xsd:attribute ref="ns2:val"/>
                                      </xsd:complexType>
                                    </xsd:element>
                                  </xsd:all>
                                </xsd:complexType>
                              </xsd:element>
                              <xsd:element minOccurs="0" nillable="true" name="t" form="qualified">
                                <xsd:complexType>
                                  <xsd:simpleContent>
                                    <xsd:extension base="xsd:string">
                                      <xsd:attribute ref="xml:space"/>
                                    </xsd:extension>
                                  </xsd:simpleContent>
                                </xsd:complexType>
                              </xsd:element>
                              <xsd:element minOccurs="0" nillable="true" type="xsd:string" name="lastRenderedPageBreak" form="qualified"/>
                            </xsd:all>
                            <xsd:attribute ref="ns2:rsidRPr"/>
                            <xsd:attribute ref="ns2:rsidR"/>
                          </xsd:complexType>
                        </xsd:element>
                        <xsd:element minOccurs="0" nillable="true" name="smartTag" form="qualified">
                          <xsd:complexType>
                            <xsd:sequence minOccurs="0">
                              <xsd:element minOccurs="0" nillable="true" name="smartTagPr" form="qualified">
                                <xsd:complexType>
                                  <xsd:sequence minOccurs="0">
                                    <xsd:element minOccurs="0" nillable="true" name="attr" form="qualified">
                                      <xsd:complexType>
                                        <xsd:attribute ref="ns2:name"/>
                                        <xsd:attribute ref="ns2:val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nillable="true" name="r" form="qualified">
                                <xsd:complexType>
                                  <xsd:sequence minOccurs="0">
                                    <xsd:element minOccurs="0" nillable="true" name="rPr" form="qualified">
                                      <xsd:complexType>
                                        <xsd:sequence minOccurs="0">
                                          <xsd:element minOccurs="0" nillable="true" name="rFonts" form="qualified">
                                            <xsd:complexType>
                                              <xsd:attribute ref="ns2:ascii"/>
                                              <xsd:attribute ref="ns2:hAnsi"/>
                                            </xsd:complexType>
                                          </xsd:element>
                                          <xsd:element minOccurs="0" nillable="true" name="color" form="qualified">
                                            <xsd:complexType>
                                              <xsd:attribute ref="ns2:val"/>
                                            </xsd:complexType>
                                          </xsd:element>
                                          <xsd:element minOccurs="0" nillable="true" name="sz" form="qualified">
                                            <xsd:complexType>
                                              <xsd:attribute ref="ns2:val"/>
                                            </xsd:complexType>
                                          </xsd:element>
                                          <xsd:element minOccurs="0" nillable="true" name="szCs" form="qualified">
                                            <xsd:complexType>
                                              <xsd:attribute ref="ns2:val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nillable="true" type="xsd:string" name="t" form="qualified"/>
                                  </xsd:sequence>
                                  <xsd:attribute ref="ns2:rsidRPr"/>
                                </xsd:complexType>
                              </xsd:element>
                            </xsd:sequence>
                            <xsd:attribute ref="ns2:uri"/>
                            <xsd:attribute ref="ns2:element"/>
                          </xsd:complexType>
                        </xsd:element>
                      </xsd:sequence>
                      <xsd:attribute ref="ns2:rsidR"/>
                      <xsd:attribute ref="ns2:rsidRDefault"/>
                      <xsd:attribute ref="ns2:rsidP"/>
                      <xsd:attribute ref="ns2:rsidRPr"/>
                    </xsd:complexType>
                  </xsd:element>
                  <xsd:element minOccurs="0" maxOccurs="unbounded" nillable="true" name="tbl" form="qualified">
                    <xsd:complexType>
                      <xsd:sequence minOccurs="0">
                        <xsd:element minOccurs="0" nillable="true" name="tblPr" form="qualified">
                          <xsd:complexType>
                            <xsd:all>
                              <xsd:element minOccurs="0" nillable="true" name="tblW" form="qualified">
                                <xsd:complexType>
                                  <xsd:attribute ref="ns2:w"/>
                                  <xsd:attribute ref="ns2:type"/>
                                </xsd:complexType>
                              </xsd:element>
                              <xsd:element minOccurs="0" nillable="true" name="tblInd" form="qualified">
                                <xsd:complexType>
                                  <xsd:attribute ref="ns2:w"/>
                                  <xsd:attribute ref="ns2:type"/>
                                </xsd:complexType>
                              </xsd:element>
                              <xsd:element minOccurs="0" nillable="true" name="tblLayout" form="qualified">
                                <xsd:complexType>
                                  <xsd:attribute ref="ns2:type"/>
                                </xsd:complexType>
                              </xsd:element>
                              <xsd:element minOccurs="0" nillable="true" name="tblCellMar" form="qualified">
                                <xsd:complexType>
                                  <xsd:sequence minOccurs="0">
                                    <xsd:element minOccurs="0" nillable="true" name="left" form="qualified">
                                      <xsd:complexType>
                                        <xsd:attribute ref="ns2:w"/>
                                        <xsd:attribute ref="ns2:type"/>
                                      </xsd:complexType>
                                    </xsd:element>
                                    <xsd:element minOccurs="0" nillable="true" name="right" form="qualified">
                                      <xsd:complexType>
                                        <xsd:attribute ref="ns2:w"/>
                                        <xsd:attribute ref="ns2:type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nillable="true" name="tblLook" form="qualified">
                                <xsd:complexType>
                                  <xsd:attribute ref="ns2:val"/>
                                  <xsd:attribute ref="ns2:firstRow"/>
                                  <xsd:attribute ref="ns2:lastRow"/>
                                  <xsd:attribute ref="ns2:firstColumn"/>
                                  <xsd:attribute ref="ns2:lastColumn"/>
                                  <xsd:attribute ref="ns2:noHBand"/>
                                  <xsd:attribute ref="ns2:noVBand"/>
                                </xsd:complexType>
                              </xsd:element>
                              <xsd:element minOccurs="0" nillable="true" name="tblBorders" form="qualified">
                                <xsd:complexType>
                                  <xsd:all>
                                    <xsd:element minOccurs="0" nillable="true" name="top" form="qualified">
                                      <xsd:complexType>
                                        <xsd:attribute ref="ns2:val"/>
                                        <xsd:attribute ref="ns2:sz"/>
                                        <xsd:attribute ref="ns2:space"/>
                                        <xsd:attribute ref="ns2:color"/>
                                      </xsd:complexType>
                                    </xsd:element>
                                    <xsd:element minOccurs="0" nillable="true" name="left" form="qualified">
                                      <xsd:complexType>
                                        <xsd:attribute ref="ns2:val"/>
                                        <xsd:attribute ref="ns2:sz"/>
                                        <xsd:attribute ref="ns2:space"/>
                                        <xsd:attribute ref="ns2:color"/>
                                      </xsd:complexType>
                                    </xsd:element>
                                    <xsd:element minOccurs="0" nillable="true" name="bottom" form="qualified">
                                      <xsd:complexType>
                                        <xsd:attribute ref="ns2:val"/>
                                        <xsd:attribute ref="ns2:sz"/>
                                        <xsd:attribute ref="ns2:space"/>
                                        <xsd:attribute ref="ns2:color"/>
                                      </xsd:complexType>
                                    </xsd:element>
                                    <xsd:element minOccurs="0" nillable="true" name="right" form="qualified">
                                      <xsd:complexType>
                                        <xsd:attribute ref="ns2:val"/>
                                        <xsd:attribute ref="ns2:sz"/>
                                        <xsd:attribute ref="ns2:space"/>
                                        <xsd:attribute ref="ns2:color"/>
                                      </xsd:complexType>
                                    </xsd:element>
                                    <xsd:element minOccurs="0" nillable="true" name="insideH" form="qualified">
                                      <xsd:complexType>
                                        <xsd:attribute ref="ns2:val"/>
                                        <xsd:attribute ref="ns2:sz"/>
                                        <xsd:attribute ref="ns2:space"/>
                                        <xsd:attribute ref="ns2:color"/>
                                      </xsd:complexType>
                                    </xsd:element>
                                    <xsd:element minOccurs="0" nillable="true" name="insideV" form="qualified">
                                      <xsd:complexType>
                                        <xsd:attribute ref="ns2:val"/>
                                        <xsd:attribute ref="ns2:sz"/>
                                        <xsd:attribute ref="ns2:space"/>
                                        <xsd:attribute ref="ns2:color"/>
                                      </xsd:complexType>
                                    </xsd:element>
                                  </xsd:all>
                                </xsd:complexType>
                              </xsd:element>
                            </xsd:all>
                          </xsd:complexType>
                        </xsd:element>
                        <xsd:element minOccurs="0" nillable="true" name="tblGrid" form="qualified">
                          <xsd:complexType>
                            <xsd:sequence minOccurs="0">
                              <xsd:element minOccurs="0" maxOccurs="unbounded" nillable="true" name="gridCol" form="qualified">
                                <xsd:complexType>
                                  <xsd:attribute ref="ns2:w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tr" form="qualified">
                          <xsd:complexType>
                            <xsd:sequence minOccurs="0">
                              <xsd:element minOccurs="0" nillable="true" name="trPr" form="qualified">
                                <xsd:complexType>
                                  <xsd:all>
                                    <xsd:element minOccurs="0" nillable="true" name="trHeight" form="qualified">
                                      <xsd:complexType>
                                        <xsd:attribute ref="ns2:val"/>
                                      </xsd:complexType>
                                    </xsd:element>
                                    <xsd:element minOccurs="0" nillable="true" type="xsd:string" name="cantSplit" form="qualified"/>
                                  </xsd:all>
                                </xsd:complexType>
                              </xsd:element>
                              <xsd:element minOccurs="0" maxOccurs="unbounded" nillable="true" name="tc" form="qualified">
                                <xsd:complexType>
                                  <xsd:sequence minOccurs="0">
                                    <xsd:element minOccurs="0" nillable="true" name="tcPr" form="qualified">
                                      <xsd:complexType>
                                        <xsd:all>
                                          <xsd:element minOccurs="0" nillable="true" name="tcW" form="qualified">
                                            <xsd:complexType>
                                              <xsd:attribute ref="ns2:w"/>
                                              <xsd:attribute ref="ns2:type"/>
                                            </xsd:complexType>
                                          </xsd:element>
                                          <xsd:element minOccurs="0" nillable="true" name="tcBorders" form="qualified">
                                            <xsd:complexType>
                                              <xsd:all>
                                                <xsd:element minOccurs="0" nillable="true" name="top" form="qualified">
                                                  <xsd:complexType>
                                                    <xsd:attribute ref="ns2:val"/>
                                                    <xsd:attribute ref="ns2:sz"/>
                                                    <xsd:attribute ref="ns2:space"/>
                                                    <xsd:attribute ref="ns2:color"/>
                                                  </xsd:complexType>
                                                </xsd:element>
                                                <xsd:element minOccurs="0" nillable="true" name="left" form="qualified">
                                                  <xsd:complexType>
                                                    <xsd:attribute ref="ns2:val"/>
                                                    <xsd:attribute ref="ns2:sz"/>
                                                    <xsd:attribute ref="ns2:space"/>
                                                    <xsd:attribute ref="ns2:color"/>
                                                  </xsd:complexType>
                                                </xsd:element>
                                                <xsd:element minOccurs="0" nillable="true" name="bottom" form="qualified">
                                                  <xsd:complexType>
                                                    <xsd:attribute ref="ns2:val"/>
                                                    <xsd:attribute ref="ns2:sz"/>
                                                    <xsd:attribute ref="ns2:space"/>
                                                    <xsd:attribute ref="ns2:color"/>
                                                  </xsd:complexType>
                                                </xsd:element>
                                                <xsd:element minOccurs="0" nillable="true" name="right" form="qualified">
                                                  <xsd:complexType>
                                                    <xsd:attribute ref="ns2:val"/>
                                                    <xsd:attribute ref="ns2:sz"/>
                                                    <xsd:attribute ref="ns2:space"/>
                                                    <xsd:attribute ref="ns2:color"/>
                                                  </xsd:complexType>
                                                </xsd:element>
                                              </xsd:all>
                                            </xsd:complexType>
                                          </xsd:element>
                                          <xsd:element minOccurs="0" nillable="true" name="vAlign" form="qualified">
                                            <xsd:complexType>
                                              <xsd:attribute ref="ns2:val"/>
                                            </xsd:complexType>
                                          </xsd:element>
                                          <xsd:element minOccurs="0" nillable="true" type="xsd:string" name="hideMark" form="qualified"/>
                                          <xsd:element minOccurs="0" nillable="true" type="xsd:string" name="noWrap" form="qualified"/>
                                          <xsd:element minOccurs="0" nillable="true" name="gridSpan" form="qualified">
                                            <xsd:complexType>
                                              <xsd:attribute ref="ns2:val"/>
                                            </xsd:complexType>
                                          </xsd:element>
                                          <xsd:element minOccurs="0" nillable="true" name="vMerge" form="qualified">
                                            <xsd:complexType>
                                              <xsd:attribute ref="ns2:val"/>
                                            </xsd:complexType>
                                          </xsd:element>
                                          <xsd:element minOccurs="0" nillable="true" name="shd" form="qualified">
                                            <xsd:complexType>
                                              <xsd:attribute ref="ns2:val"/>
                                              <xsd:attribute ref="ns2:color"/>
                                              <xsd:attribute ref="ns2:fill"/>
                                            </xsd:complexType>
                                          </xsd:element>
                                        </xsd:all>
                                      </xsd:complexType>
                                    </xsd:element>
                                    <xsd:element minOccurs="0" nillable="true" name="p" form="qualified">
                                      <xsd:complexType>
                                        <xsd:sequence minOccurs="0">
                                          <xsd:element minOccurs="0" nillable="true" name="pPr" form="qualified">
                                            <xsd:complexType>
                                              <xsd:all>
                                                <xsd:element minOccurs="0" nillable="true" name="jc" form="qualified">
                                                  <xsd:complexType>
                                                    <xsd:attribute ref="ns2:val"/>
                                                  </xsd:complexType>
                                                </xsd:element>
                                                <xsd:element minOccurs="0" nillable="true" name="rPr" form="qualified">
                                                  <xsd:complexType>
                                                    <xsd:all>
                                                      <xsd:element minOccurs="0" nillable="true" name="rFonts" form="qualified">
                                                        <xsd:complexType>
                                                          <xsd:attribute ref="ns2:ascii"/>
                                                          <xsd:attribute ref="ns2:hAnsi"/>
                                                          <xsd:attribute ref="ns2:cs"/>
                                                        </xsd:complexType>
                                                      </xsd:element>
                                                      <xsd:element minOccurs="0" nillable="true" type="xsd:string" name="b" form="qualified"/>
                                                      <xsd:element minOccurs="0" nillable="true" type="xsd:string" name="bCs" form="qualified"/>
                                                      <xsd:element minOccurs="0" nillable="true" name="sz" form="qualified">
                                                        <xsd:complexType>
                                                          <xsd:attribute ref="ns2:val"/>
                                                        </xsd:complexType>
                                                      </xsd:element>
                                                      <xsd:element minOccurs="0" nillable="true" name="szCs" form="qualified">
                                                        <xsd:complexType>
                                                          <xsd:attribute ref="ns2:val"/>
                                                        </xsd:complexType>
                                                      </xsd:element>
                                                      <xsd:element minOccurs="0" nillable="true" name="color" form="qualified">
                                                        <xsd:complexType>
                                                          <xsd:attribute ref="ns2:val"/>
                                                        </xsd:complexType>
                                                      </xsd:element>
                                                      <xsd:element minOccurs="0" nillable="true" name="u" form="qualified">
                                                        <xsd:complexType>
                                                          <xsd:attribute ref="ns2:val"/>
                                                        </xsd:complexType>
                                                      </xsd:element>
                                                      <xsd:element minOccurs="0" nillable="true" type="xsd:string" name="i" form="qualified"/>
                                                      <xsd:element minOccurs="0" nillable="true" type="xsd:string" name="iCs" form="qualified"/>
                                                    </xsd:all>
                                                  </xsd:complexType>
                                                </xsd:element>
                                              </xsd:all>
                                            </xsd:complexType>
                                          </xsd:element>
                                          <xsd:element minOccurs="0" maxOccurs="unbounded" nillable="true" name="r" form="qualified">
                                            <xsd:complexType>
                                              <xsd:all>
                                                <xsd:element minOccurs="0" nillable="true" name="rPr" form="qualified">
                                                  <xsd:complexType>
                                                    <xsd:all>
                                                      <xsd:element minOccurs="0" nillable="true" name="rFonts" form="qualified">
                                                        <xsd:complexType>
                                                          <xsd:attribute ref="ns2:ascii"/>
                                                          <xsd:attribute ref="ns2:hAnsi"/>
                                                          <xsd:attribute ref="ns2:cs"/>
                                                        </xsd:complexType>
                                                      </xsd:element>
                                                      <xsd:element minOccurs="0" nillable="true" type="xsd:string" name="b" form="qualified"/>
                                                      <xsd:element minOccurs="0" nillable="true" type="xsd:string" name="bCs" form="qualified"/>
                                                      <xsd:element minOccurs="0" nillable="true" name="sz" form="qualified">
                                                        <xsd:complexType>
                                                          <xsd:attribute ref="ns2:val"/>
                                                        </xsd:complexType>
                                                      </xsd:element>
                                                      <xsd:element minOccurs="0" nillable="true" name="szCs" form="qualified">
                                                        <xsd:complexType>
                                                          <xsd:attribute ref="ns2:val"/>
                                                        </xsd:complexType>
                                                      </xsd:element>
                                                      <xsd:element minOccurs="0" nillable="true" name="color" form="qualified">
                                                        <xsd:complexType>
                                                          <xsd:attribute ref="ns2:val"/>
                                                        </xsd:complexType>
                                                      </xsd:element>
                                                      <xsd:element minOccurs="0" nillable="true" name="u" form="qualified">
                                                        <xsd:complexType>
                                                          <xsd:attribute ref="ns2:val"/>
                                                        </xsd:complexType>
                                                      </xsd:element>
                                                      <xsd:element minOccurs="0" nillable="true" type="xsd:string" name="i" form="qualified"/>
                                                      <xsd:element minOccurs="0" nillable="true" type="xsd:string" name="iCs" form="qualified"/>
                                                    </xsd:all>
                                                  </xsd:complexType>
                                                </xsd:element>
                                                <xsd:element minOccurs="0" nillable="true" name="t" form="qualified">
                                                  <xsd:complexType>
                                                    <xsd:simpleContent>
                                                      <xsd:extension base="xsd:string">
                                                        <xsd:attribute ref="xml:space"/>
                                                      </xsd:extension>
                                                    </xsd:simpleContent>
                                                  </xsd:complexType>
                                                </xsd:element>
                                                <xsd:element minOccurs="0" nillable="true" type="xsd:string" name="lastRenderedPageBreak" form="qualified"/>
                                              </xsd:all>
                                              <xsd:attribute ref="ns2:rsidRPr"/>
                                              <xsd:attribute ref="ns2:rsidR"/>
                                            </xsd:complexType>
                                          </xsd:element>
                                        </xsd:sequence>
                                        <xsd:attribute ref="ns2:rsidR"/>
                                        <xsd:attribute ref="ns2:rsidRPr"/>
                                        <xsd:attribute ref="ns2:rsidRDefault"/>
                                        <xsd:attribute ref="ns2:rsidP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</xsd:sequence>
                            <xsd:attribute ref="ns2:rsidR"/>
                            <xsd:attribute ref="ns2:rsidRPr"/>
                            <xsd:attribute ref="ns2:rsidTr"/>
                          </xsd:complexType>
                        </xsd:element>
                      </xsd:sequence>
                    </xsd:complexType>
                  </xsd:element>
                  <xsd:element minOccurs="0" nillable="true" name="sectPr" form="qualified">
                    <xsd:complexType>
                      <xsd:sequence minOccurs="0">
                        <xsd:element minOccurs="0" nillable="true" name="pgSz" form="qualified">
                          <xsd:complexType>
                            <xsd:attribute ref="ns2:w"/>
                            <xsd:attribute ref="ns2:h"/>
                            <xsd:attribute ref="ns2:code"/>
                          </xsd:complexType>
                        </xsd:element>
                        <xsd:element minOccurs="0" nillable="true" name="pgMar" form="qualified">
                          <xsd:complexType>
                            <xsd:attribute ref="ns2:top"/>
                            <xsd:attribute ref="ns2:right"/>
                            <xsd:attribute ref="ns2:bottom"/>
                            <xsd:attribute ref="ns2:left"/>
                            <xsd:attribute ref="ns2:header"/>
                            <xsd:attribute ref="ns2:footer"/>
                            <xsd:attribute ref="ns2:gutter"/>
                          </xsd:complexType>
                        </xsd:element>
                        <xsd:element minOccurs="0" nillable="true" name="pgNumType" form="qualified">
                          <xsd:complexType>
                            <xsd:attribute ref="ns2:start"/>
                          </xsd:complexType>
                        </xsd:element>
                        <xsd:element minOccurs="0" nillable="true" name="cols" form="qualified">
                          <xsd:complexType>
                            <xsd:attribute ref="ns2:space"/>
                          </xsd:complexType>
                        </xsd:element>
                        <xsd:element minOccurs="0" nillable="true" name="docGrid" form="qualified">
                          <xsd:complexType>
                            <xsd:attribute ref="ns2:linePitch"/>
                          </xsd:complexType>
                        </xsd:element>
                      </xsd:sequence>
                      <xsd:attribute ref="ns2:rsidR"/>
                      <xsd:attribute ref="ns2:rsidRPr"/>
                      <xsd:attribute ref="ns2:rsidSect"/>
                    </xsd:complexType>
                  </xsd:element>
                </xsd:sequence>
              </xsd:complexType>
            </xsd:element>
          </xsd:sequence>
          <xsd:attribute ref="ns4:Ignorable"/>
        </xsd:complexType>
      </xsd:element>
      <xsd:element nillable="true" name="endnotes">
        <xsd:complexType>
          <xsd:sequence minOccurs="0">
            <xsd:element minOccurs="0" maxOccurs="unbounded" nillable="true" name="endnote" form="qualified">
              <xsd:complexType>
                <xsd:sequence minOccurs="0">
                  <xsd:element minOccurs="0" nillable="true" name="p" form="qualified">
                    <xsd:complexType>
                      <xsd:sequence minOccurs="0">
                        <xsd:element minOccurs="0" nillable="true" name="r" form="qualified">
                          <xsd:complexType>
                            <xsd:all>
                              <xsd:element minOccurs="0" nillable="true" type="xsd:string" name="separator" form="qualified"/>
                              <xsd:element minOccurs="0" nillable="true" type="xsd:string" name="continuationSeparator" form="qualified"/>
                            </xsd:all>
                          </xsd:complexType>
                        </xsd:element>
                      </xsd:sequence>
                      <xsd:attribute ref="ns2:rsidR"/>
                      <xsd:attribute ref="ns2:rsidRDefault"/>
                      <xsd:attribute ref="ns2:rsidP"/>
                    </xsd:complexType>
                  </xsd:element>
                </xsd:sequence>
                <xsd:attribute ref="ns2:type"/>
                <xsd:attribute ref="ns2:id"/>
              </xsd:complexType>
            </xsd:element>
          </xsd:sequence>
          <xsd:attribute ref="ns4:Ignorable"/>
        </xsd:complexType>
      </xsd:element>
      <xsd:element nillable="true" name="footnotes">
        <xsd:complexType>
          <xsd:sequence minOccurs="0">
            <xsd:element minOccurs="0" maxOccurs="unbounded" nillable="true" name="footnote" form="qualified">
              <xsd:complexType>
                <xsd:sequence minOccurs="0">
                  <xsd:element minOccurs="0" nillable="true" name="p" form="qualified">
                    <xsd:complexType>
                      <xsd:sequence minOccurs="0">
                        <xsd:element minOccurs="0" nillable="true" name="r" form="qualified">
                          <xsd:complexType>
                            <xsd:all>
                              <xsd:element minOccurs="0" nillable="true" type="xsd:string" name="separator" form="qualified"/>
                              <xsd:element minOccurs="0" nillable="true" type="xsd:string" name="continuationSeparator" form="qualified"/>
                            </xsd:all>
                          </xsd:complexType>
                        </xsd:element>
                      </xsd:sequence>
                      <xsd:attribute ref="ns2:rsidR"/>
                      <xsd:attribute ref="ns2:rsidRDefault"/>
                      <xsd:attribute ref="ns2:rsidP"/>
                    </xsd:complexType>
                  </xsd:element>
                </xsd:sequence>
                <xsd:attribute ref="ns2:type"/>
                <xsd:attribute ref="ns2:id"/>
              </xsd:complexType>
            </xsd:element>
          </xsd:sequence>
          <xsd:attribute ref="ns4:Ignorable"/>
        </xsd:complexType>
      </xsd:element>
      <xsd:element nillable="true" name="settings">
        <xsd:complexType>
          <xsd:sequence minOccurs="0">
            <xsd:element minOccurs="0" nillable="true" name="zoom" form="qualified">
              <xsd:complexType>
                <xsd:attribute ref="ns2:percent"/>
              </xsd:complexType>
            </xsd:element>
            <xsd:element minOccurs="0" nillable="true" name="stylePaneFormatFilter" form="qualified">
              <xsd:complexType>
                <xsd:attribute ref="ns2:val"/>
                <xsd:attribute ref="ns2:allStyles"/>
                <xsd:attribute ref="ns2:customStyles"/>
                <xsd:attribute ref="ns2:latentStyles"/>
                <xsd:attribute ref="ns2:stylesInUse"/>
                <xsd:attribute ref="ns2:headingStyles"/>
                <xsd:attribute ref="ns2:numberingStyles"/>
                <xsd:attribute ref="ns2:tableStyles"/>
                <xsd:attribute ref="ns2:directFormattingOnRuns"/>
                <xsd:attribute ref="ns2:directFormattingOnParagraphs"/>
                <xsd:attribute ref="ns2:directFormattingOnNumbering"/>
                <xsd:attribute ref="ns2:directFormattingOnTables"/>
                <xsd:attribute ref="ns2:clearFormatting"/>
                <xsd:attribute ref="ns2:top3HeadingStyles"/>
                <xsd:attribute ref="ns2:visibleStyles"/>
                <xsd:attribute ref="ns2:alternateStyleNames"/>
              </xsd:complexType>
            </xsd:element>
            <xsd:element minOccurs="0" nillable="true" type="xsd:string" name="doNotTrackMoves" form="qualified"/>
            <xsd:element minOccurs="0" nillable="true" name="defaultTabStop" form="qualified">
              <xsd:complexType>
                <xsd:attribute ref="ns2:val"/>
              </xsd:complexType>
            </xsd:element>
            <xsd:element minOccurs="0" nillable="true" name="hyphenationZone" form="qualified">
              <xsd:complexType>
                <xsd:attribute ref="ns2:val"/>
              </xsd:complexType>
            </xsd:element>
            <xsd:element minOccurs="0" nillable="true" name="characterSpacingControl" form="qualified">
              <xsd:complexType>
                <xsd:attribute ref="ns2:val"/>
              </xsd:complexType>
            </xsd:element>
            <xsd:element minOccurs="0" nillable="true" name="footnotePr" form="qualified">
              <xsd:complexType>
                <xsd:sequence minOccurs="0">
                  <xsd:element minOccurs="0" maxOccurs="unbounded" nillable="true" name="footnote" form="qualified">
                    <xsd:complexType>
                      <xsd:attribute ref="ns2:id"/>
                    </xsd:complexType>
                  </xsd:element>
                </xsd:sequence>
              </xsd:complexType>
            </xsd:element>
            <xsd:element minOccurs="0" nillable="true" name="endnotePr" form="qualified">
              <xsd:complexType>
                <xsd:sequence minOccurs="0">
                  <xsd:element minOccurs="0" maxOccurs="unbounded" nillable="true" name="endnote" form="qualified">
                    <xsd:complexType>
                      <xsd:attribute ref="ns2:id"/>
                    </xsd:complexType>
                  </xsd:element>
                </xsd:sequence>
              </xsd:complexType>
            </xsd:element>
            <xsd:element minOccurs="0" nillable="true" name="compat" form="qualified">
              <xsd:complexType>
                <xsd:sequence minOccurs="0">
                  <xsd:element minOccurs="0" nillable="true" type="xsd:string" name="useNormalStyleForList" form="qualified"/>
                  <xsd:element minOccurs="0" nillable="true" type="xsd:string" name="doNotUseIndentAsNumberingTabStop" form="qualified"/>
                  <xsd:element minOccurs="0" nillable="true" type="xsd:string" name="useAltKinsokuLineBreakRules" form="qualified"/>
                  <xsd:element minOccurs="0" nillable="true" type="xsd:string" name="allowSpaceOfSameStyleInTable" form="qualified"/>
                  <xsd:element minOccurs="0" nillable="true" type="xsd:string" name="doNotSuppressIndentation" form="qualified"/>
                  <xsd:element minOccurs="0" nillable="true" type="xsd:string" name="doNotAutofitConstrainedTables" form="qualified"/>
                  <xsd:element minOccurs="0" nillable="true" type="xsd:string" name="autofitToFirstFixedWidthCell" form="qualified"/>
                  <xsd:element minOccurs="0" nillable="true" type="xsd:string" name="displayHangulFixedWidth" form="qualified"/>
                  <xsd:element minOccurs="0" nillable="true" type="xsd:string" name="splitPgBreakAndParaMark" form="qualified"/>
                  <xsd:element minOccurs="0" nillable="true" type="xsd:string" name="doNotVertAlignCellWithSp" form="qualified"/>
                  <xsd:element minOccurs="0" nillable="true" type="xsd:string" name="doNotBreakConstrainedForcedTable" form="qualified"/>
                  <xsd:element minOccurs="0" nillable="true" type="xsd:string" name="doNotVertAlignInTxbx" form="qualified"/>
                  <xsd:element minOccurs="0" nillable="true" type="xsd:string" name="useAnsiKerningPairs" form="qualified"/>
                  <xsd:element minOccurs="0" nillable="true" type="xsd:string" name="cachedColBalance" form="qualified"/>
                  <xsd:element minOccurs="0" nillable="true" name="compatSetting" form="qualified">
                    <xsd:complexType>
                      <xsd:attribute ref="ns2:name"/>
                      <xsd:attribute ref="ns2:uri"/>
                      <xsd:attribute ref="ns2:val"/>
                    </xsd:complexType>
                  </xsd:element>
                </xsd:sequence>
              </xsd:complexType>
            </xsd:element>
            <xsd:element minOccurs="0" nillable="true" name="rsids" form="qualified">
              <xsd:complexType>
                <xsd:sequence minOccurs="0">
                  <xsd:element minOccurs="0" nillable="true" name="rsidRoot" form="qualified">
                    <xsd:complexType>
                      <xsd:attribute ref="ns2:val"/>
                    </xsd:complexType>
                  </xsd:element>
                  <xsd:element minOccurs="0" maxOccurs="unbounded" nillable="true" name="rsid" form="qualified">
                    <xsd:complexType>
                      <xsd:attribute ref="ns2:val"/>
                    </xsd:complexType>
                  </xsd:element>
                </xsd:sequence>
              </xsd:complexType>
            </xsd:element>
            <xsd:element minOccurs="0" ref="ns3:mathPr"/>
            <xsd:element minOccurs="0" nillable="true" name="themeFontLang" form="qualified">
              <xsd:complexType>
                <xsd:attribute ref="ns2:val"/>
              </xsd:complexType>
            </xsd:element>
            <xsd:element minOccurs="0" nillable="true" name="clrSchemeMapping" form="qualified">
              <xsd:complexType>
                <xsd:attribute ref="ns2:bg1"/>
                <xsd:attribute ref="ns2:t1"/>
                <xsd:attribute ref="ns2:bg2"/>
                <xsd:attribute ref="ns2:t2"/>
                <xsd:attribute ref="ns2:accent1"/>
                <xsd:attribute ref="ns2:accent2"/>
                <xsd:attribute ref="ns2:accent3"/>
                <xsd:attribute ref="ns2:accent4"/>
                <xsd:attribute ref="ns2:accent5"/>
                <xsd:attribute ref="ns2:accent6"/>
                <xsd:attribute ref="ns2:hyperlink"/>
                <xsd:attribute ref="ns2:followedHyperlink"/>
              </xsd:complexType>
            </xsd:element>
            <xsd:element minOccurs="0" nillable="true" type="xsd:string" name="doNotIncludeSubdocsInStats" form="qualified"/>
            <xsd:element minOccurs="0" nillable="true" type="xsd:string" name="doNotAutoCompressPictures" form="qualified"/>
            <xsd:element minOccurs="0" nillable="true" name="smartTagType" form="qualified">
              <xsd:complexType>
                <xsd:attribute ref="ns2:namespaceuri"/>
                <xsd:attribute ref="ns2:name"/>
              </xsd:complexType>
            </xsd:element>
            <xsd:element minOccurs="0" nillable="true" name="shapeDefaults" form="qualified">
              <xsd:complexType>
                <xsd:sequence minOccurs="0">
                  <xsd:element minOccurs="0" ref="ns0:shapedefaults"/>
                  <xsd:element minOccurs="0" ref="ns0:shapelayout"/>
                </xsd:sequence>
              </xsd:complexType>
            </xsd:element>
            <xsd:element minOccurs="0" nillable="true" name="decimalSymbol" form="qualified">
              <xsd:complexType>
                <xsd:attribute ref="ns2:val"/>
              </xsd:complexType>
            </xsd:element>
            <xsd:element minOccurs="0" nillable="true" name="listSeparator" form="qualified">
              <xsd:complexType>
                <xsd:attribute ref="ns2:val"/>
              </xsd:complexType>
            </xsd:element>
            <xsd:element minOccurs="0" ref="ns6:defaultImageDpi"/>
            <xsd:element minOccurs="0" ref="ns5:docId"/>
          </xsd:sequence>
          <xsd:attribute ref="ns4:Ignorable"/>
        </xsd:complexType>
      </xsd:element>
      <xsd:element nillable="true" name="fonts">
        <xsd:complexType>
          <xsd:sequence minOccurs="0">
            <xsd:element minOccurs="0" maxOccurs="unbounded" nillable="true" name="font" form="qualified">
              <xsd:complexType>
                <xsd:sequence minOccurs="0">
                  <xsd:element minOccurs="0" nillable="true" name="panose1" form="qualified">
                    <xsd:complexType>
                      <xsd:attribute ref="ns2:val"/>
                    </xsd:complexType>
                  </xsd:element>
                  <xsd:element minOccurs="0" nillable="true" name="charset" form="qualified">
                    <xsd:complexType>
                      <xsd:attribute ref="ns2:val"/>
                    </xsd:complexType>
                  </xsd:element>
                  <xsd:element minOccurs="0" nillable="true" name="family" form="qualified">
                    <xsd:complexType>
                      <xsd:attribute ref="ns2:val"/>
                    </xsd:complexType>
                  </xsd:element>
                  <xsd:element minOccurs="0" nillable="true" name="pitch" form="qualified">
                    <xsd:complexType>
                      <xsd:attribute ref="ns2:val"/>
                    </xsd:complexType>
                  </xsd:element>
                  <xsd:element minOccurs="0" nillable="true" name="sig" form="qualified">
                    <xsd:complexType>
                      <xsd:attribute ref="ns2:usb0"/>
                      <xsd:attribute ref="ns2:usb1"/>
                      <xsd:attribute ref="ns2:usb2"/>
                      <xsd:attribute ref="ns2:usb3"/>
                      <xsd:attribute ref="ns2:csb0"/>
                      <xsd:attribute ref="ns2:csb1"/>
                    </xsd:complexType>
                  </xsd:element>
                </xsd:sequence>
                <xsd:attribute ref="ns2:name"/>
              </xsd:complexType>
            </xsd:element>
          </xsd:sequence>
          <xsd:attribute ref="ns4:Ignorable"/>
        </xsd:complexType>
      </xsd:element>
      <xsd:element nillable="true" name="styles">
        <xsd:complexType>
          <xsd:sequence minOccurs="0">
            <xsd:element minOccurs="0" nillable="true" name="docDefaults" form="qualified">
              <xsd:complexType>
                <xsd:sequence minOccurs="0">
                  <xsd:element minOccurs="0" nillable="true" name="rPrDefault" form="qualified">
                    <xsd:complexType>
                      <xsd:sequence minOccurs="0">
                        <xsd:element minOccurs="0" nillable="true" name="rPr" form="qualified">
                          <xsd:complexType>
                            <xsd:sequence minOccurs="0">
                              <xsd:element minOccurs="0" nillable="true" name="rFonts" form="qualified">
                                <xsd:complexType>
                                  <xsd:attribute ref="ns2:ascii"/>
                                  <xsd:attribute ref="ns2:eastAsia"/>
                                  <xsd:attribute ref="ns2:hAnsi"/>
                                  <xsd:attribute ref="ns2:cs"/>
                                </xsd:complexType>
                              </xsd:element>
                              <xsd:element minOccurs="0" nillable="true" name="lang" form="qualified">
                                <xsd:complexType>
                                  <xsd:attribute ref="ns2:val"/>
                                  <xsd:attribute ref="ns2:eastAsia"/>
                                  <xsd:attribute ref="ns2:bidi"/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</xsd:complexType>
                  </xsd:element>
                  <xsd:element minOccurs="0" nillable="true" type="xsd:string" name="pPrDefault" form="qualified"/>
                </xsd:sequence>
              </xsd:complexType>
            </xsd:element>
            <xsd:element minOccurs="0" nillable="true" name="latentStyles" form="qualified">
              <xsd:complexType>
                <xsd:sequence minOccurs="0">
                  <xsd:element minOccurs="0" maxOccurs="unbounded" nillable="true" name="lsdException" form="qualified">
                    <xsd:complexType>
                      <xsd:attribute ref="ns2:name"/>
                      <xsd:attribute ref="ns2:qFormat"/>
                      <xsd:attribute ref="ns2:semiHidden"/>
                      <xsd:attribute ref="ns2:unhideWhenUsed"/>
                      <xsd:attribute ref="ns2:uiPriority"/>
                    </xsd:complexType>
                  </xsd:element>
                </xsd:sequence>
                <xsd:attribute ref="ns2:defLockedState"/>
                <xsd:attribute ref="ns2:defUIPriority"/>
                <xsd:attribute ref="ns2:defSemiHidden"/>
                <xsd:attribute ref="ns2:defUnhideWhenUsed"/>
                <xsd:attribute ref="ns2:defQFormat"/>
                <xsd:attribute ref="ns2:count"/>
              </xsd:complexType>
            </xsd:element>
            <xsd:element minOccurs="0" maxOccurs="unbounded" nillable="true" name="style" form="qualified">
              <xsd:complexType>
                <xsd:all>
                  <xsd:element minOccurs="0" nillable="true" name="name" form="qualified">
                    <xsd:complexType>
                      <xsd:attribute ref="ns2:val"/>
                    </xsd:complexType>
                  </xsd:element>
                  <xsd:element minOccurs="0" nillable="true" type="xsd:string" name="qFormat" form="qualified"/>
                  <xsd:element minOccurs="0" nillable="true" name="rsid" form="qualified">
                    <xsd:complexType>
                      <xsd:attribute ref="ns2:val"/>
                    </xsd:complexType>
                  </xsd:element>
                  <xsd:element minOccurs="0" nillable="true" name="rPr" form="qualified">
                    <xsd:complexType>
                      <xsd:all>
                        <xsd:element minOccurs="0" nillable="true" name="sz" form="qualified">
                          <xsd:complexType>
                            <xsd:attribute ref="ns2:val"/>
                          </xsd:complexType>
                        </xsd:element>
                        <xsd:element minOccurs="0" nillable="true" name="szCs" form="qualified">
                          <xsd:complexType>
                            <xsd:attribute ref="ns2:val"/>
                          </xsd:complexType>
                        </xsd:element>
                        <xsd:element minOccurs="0" nillable="true" name="rFonts" form="qualified">
                          <xsd:complexType>
                            <xsd:attribute ref="ns2:ascii"/>
                            <xsd:attribute ref="ns2:hAnsi"/>
                            <xsd:attribute ref="ns2:cs"/>
                          </xsd:complexType>
                        </xsd:element>
                        <xsd:element minOccurs="0" nillable="true" name="color" form="qualified">
                          <xsd:complexType>
                            <xsd:attribute ref="ns2:val"/>
                          </xsd:complexType>
                        </xsd:element>
                        <xsd:element minOccurs="0" nillable="true" type="xsd:string" name="b" form="qualified"/>
                        <xsd:element minOccurs="0" nillable="true" type="xsd:string" name="bCs" form="qualified"/>
                      </xsd:all>
                    </xsd:complexType>
                  </xsd:element>
                  <xsd:element minOccurs="0" nillable="true" name="uiPriority" form="qualified">
                    <xsd:complexType>
                      <xsd:attribute ref="ns2:val"/>
                    </xsd:complexType>
                  </xsd:element>
                  <xsd:element minOccurs="0" nillable="true" type="xsd:string" name="semiHidden" form="qualified"/>
                  <xsd:element minOccurs="0" nillable="true" type="xsd:string" name="unhideWhenUsed" form="qualified"/>
                  <xsd:element minOccurs="0" nillable="true" name="tblPr" form="qualified">
                    <xsd:complexType>
                      <xsd:sequence minOccurs="0">
                        <xsd:element minOccurs="0" nillable="true" name="tblInd" form="qualified">
                          <xsd:complexType>
                            <xsd:attribute ref="ns2:w"/>
                            <xsd:attribute ref="ns2:type"/>
                          </xsd:complexType>
                        </xsd:element>
                        <xsd:element minOccurs="0" nillable="true" name="tblCellMar" form="qualified">
                          <xsd:complexType>
                            <xsd:sequence minOccurs="0">
                              <xsd:element minOccurs="0" nillable="true" name="top" form="qualified">
                                <xsd:complexType>
                                  <xsd:attribute ref="ns2:w"/>
                                  <xsd:attribute ref="ns2:type"/>
                                </xsd:complexType>
                              </xsd:element>
                              <xsd:element minOccurs="0" nillable="true" name="left" form="qualified">
                                <xsd:complexType>
                                  <xsd:attribute ref="ns2:w"/>
                                  <xsd:attribute ref="ns2:type"/>
                                </xsd:complexType>
                              </xsd:element>
                              <xsd:element minOccurs="0" nillable="true" name="bottom" form="qualified">
                                <xsd:complexType>
                                  <xsd:attribute ref="ns2:w"/>
                                  <xsd:attribute ref="ns2:type"/>
                                </xsd:complexType>
                              </xsd:element>
                              <xsd:element minOccurs="0" nillable="true" name="right" form="qualified">
                                <xsd:complexType>
                                  <xsd:attribute ref="ns2:w"/>
                                  <xsd:attribute ref="ns2:type"/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</xsd:complexType>
                  </xsd:element>
                  <xsd:element minOccurs="0" nillable="true" name="basedOn" form="qualified">
                    <xsd:complexType>
                      <xsd:attribute ref="ns2:val"/>
                    </xsd:complexType>
                  </xsd:element>
                  <xsd:element minOccurs="0" nillable="true" name="link" form="qualified">
                    <xsd:complexType>
                      <xsd:attribute ref="ns2:val"/>
                    </xsd:complexType>
                  </xsd:element>
                  <xsd:element minOccurs="0" nillable="true" name="pPr" form="qualified">
                    <xsd:complexType>
                      <xsd:all>
                        <xsd:element minOccurs="0" nillable="true" name="tabs" form="qualified">
                          <xsd:complexType>
                            <xsd:sequence minOccurs="0">
                              <xsd:element minOccurs="0" maxOccurs="unbounded" nillable="true" name="tab" form="qualified">
                                <xsd:complexType>
                                  <xsd:attribute ref="ns2:val"/>
                                  <xsd:attribute ref="ns2:pos"/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autoSpaceDE" form="qualified">
                          <xsd:complexType>
                            <xsd:attribute ref="ns2:val"/>
                          </xsd:complexType>
                        </xsd:element>
                        <xsd:element minOccurs="0" nillable="true" name="autoSpaceDN" form="qualified">
                          <xsd:complexType>
                            <xsd:attribute ref="ns2:val"/>
                          </xsd:complexType>
                        </xsd:element>
                        <xsd:element minOccurs="0" nillable="true" name="adjustRightInd" form="qualified">
                          <xsd:complexType>
                            <xsd:attribute ref="ns2:val"/>
                          </xsd:complexType>
                        </xsd:element>
                      </xsd:all>
                    </xsd:complexType>
                  </xsd:element>
                  <xsd:element minOccurs="0" nillable="true" type="xsd:string" name="locked" form="qualified"/>
                  <xsd:element minOccurs="0" nillable="true" name="next" form="qualified">
                    <xsd:complexType>
                      <xsd:attribute ref="ns2:val"/>
                    </xsd:complexType>
                  </xsd:element>
                </xsd:all>
                <xsd:attribute ref="ns2:type"/>
                <xsd:attribute ref="ns2:default"/>
                <xsd:attribute ref="ns2:styleId"/>
                <xsd:attribute ref="ns2:customStyle"/>
              </xsd:complexType>
            </xsd:element>
          </xsd:sequence>
          <xsd:attribute ref="ns4:Ignorable"/>
        </xsd:complexType>
      </xsd:element>
      <xsd:element nillable="true" name="webSettings">
        <xsd:complexType>
          <xsd:sequence minOccurs="0">
            <xsd:element minOccurs="0" nillable="true" name="divs" form="qualified">
              <xsd:complexType>
                <xsd:sequence minOccurs="0">
                  <xsd:element minOccurs="0" maxOccurs="unbounded" nillable="true" name="div" form="qualified">
                    <xsd:complexType>
                      <xsd:sequence minOccurs="0">
                        <xsd:element minOccurs="0" nillable="true" name="marLeft" form="qualified">
                          <xsd:complexType>
                            <xsd:attribute ref="ns2:val"/>
                          </xsd:complexType>
                        </xsd:element>
                        <xsd:element minOccurs="0" nillable="true" name="marRight" form="qualified">
                          <xsd:complexType>
                            <xsd:attribute ref="ns2:val"/>
                          </xsd:complexType>
                        </xsd:element>
                        <xsd:element minOccurs="0" nillable="true" name="marTop" form="qualified">
                          <xsd:complexType>
                            <xsd:attribute ref="ns2:val"/>
                          </xsd:complexType>
                        </xsd:element>
                        <xsd:element minOccurs="0" nillable="true" name="marBottom" form="qualified">
                          <xsd:complexType>
                            <xsd:attribute ref="ns2:val"/>
                          </xsd:complexType>
                        </xsd:element>
                        <xsd:element minOccurs="0" nillable="true" name="divBdr" form="qualified">
                          <xsd:complexType>
                            <xsd:sequence minOccurs="0">
                              <xsd:element minOccurs="0" nillable="true" name="top" form="qualified">
                                <xsd:complexType>
                                  <xsd:attribute ref="ns2:val"/>
                                  <xsd:attribute ref="ns2:sz"/>
                                  <xsd:attribute ref="ns2:space"/>
                                  <xsd:attribute ref="ns2:color"/>
                                </xsd:complexType>
                              </xsd:element>
                              <xsd:element minOccurs="0" nillable="true" name="left" form="qualified">
                                <xsd:complexType>
                                  <xsd:attribute ref="ns2:val"/>
                                  <xsd:attribute ref="ns2:sz"/>
                                  <xsd:attribute ref="ns2:space"/>
                                  <xsd:attribute ref="ns2:color"/>
                                </xsd:complexType>
                              </xsd:element>
                              <xsd:element minOccurs="0" nillable="true" name="bottom" form="qualified">
                                <xsd:complexType>
                                  <xsd:attribute ref="ns2:val"/>
                                  <xsd:attribute ref="ns2:sz"/>
                                  <xsd:attribute ref="ns2:space"/>
                                  <xsd:attribute ref="ns2:color"/>
                                </xsd:complexType>
                              </xsd:element>
                              <xsd:element minOccurs="0" nillable="true" name="right" form="qualified">
                                <xsd:complexType>
                                  <xsd:attribute ref="ns2:val"/>
                                  <xsd:attribute ref="ns2:sz"/>
                                  <xsd:attribute ref="ns2:space"/>
                                  <xsd:attribute ref="ns2:color"/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  <xsd:attribute ref="ns2:id"/>
                    </xsd:complexType>
                  </xsd:element>
                </xsd:sequence>
              </xsd:complexType>
            </xsd:element>
            <xsd:element minOccurs="0" nillable="true" type="xsd:string" name="optimizeForBrowser" form="qualified"/>
            <xsd:element minOccurs="0" nillable="true" type="xsd:string" name="allowPNG" form="qualified"/>
          </xsd:sequence>
          <xsd:attribute ref="ns4:Ignorable"/>
        </xsd:complexType>
      </xsd:element>
      <xsd:attribute name="rsidR" type="xsd:string"/>
      <xsd:attribute name="rsidRDefault" type="xsd:string"/>
      <xsd:attribute name="rsidP" type="xsd:string"/>
      <xsd:attribute name="ascii" type="xsd:string"/>
      <xsd:attribute name="hAnsi" type="xsd:string"/>
      <xsd:attribute name="cs" type="xsd:string"/>
      <xsd:attribute name="val" type="xsd:string"/>
      <xsd:attribute name="id" type="xsd:integer"/>
      <xsd:attribute name="name" type="xsd:string"/>
      <xsd:attribute name="rsidRPr" type="xsd:string"/>
      <xsd:attribute name="uri" type="xsd:string"/>
      <xsd:attribute name="element" type="xsd:string"/>
      <xsd:attribute name="w" type="xsd:integer"/>
      <xsd:attribute name="type" type="xsd:string"/>
      <xsd:attribute name="firstRow" type="xsd:integer"/>
      <xsd:attribute name="lastRow" type="xsd:integer"/>
      <xsd:attribute name="firstColumn" type="xsd:integer"/>
      <xsd:attribute name="lastColumn" type="xsd:integer"/>
      <xsd:attribute name="noHBand" type="xsd:integer"/>
      <xsd:attribute name="noVBand" type="xsd:integer"/>
      <xsd:attribute name="rsidTr" type="xsd:string"/>
      <xsd:attribute name="sz" type="xsd:integer"/>
      <xsd:attribute name="space" type="xsd:integer"/>
      <xsd:attribute name="color" type="xsd:string"/>
      <xsd:attribute name="firstLine" type="xsd:integer"/>
      <xsd:attribute name="fill" type="xsd:string"/>
      <xsd:attribute name="rsidSect" type="xsd:string"/>
      <xsd:attribute name="h" type="xsd:integer"/>
      <xsd:attribute name="code" type="xsd:integer"/>
      <xsd:attribute name="top" type="xsd:integer"/>
      <xsd:attribute name="right" type="xsd:integer"/>
      <xsd:attribute name="bottom" type="xsd:integer"/>
      <xsd:attribute name="left" type="xsd:integer"/>
      <xsd:attribute name="header" type="xsd:integer"/>
      <xsd:attribute name="footer" type="xsd:integer"/>
      <xsd:attribute name="gutter" type="xsd:integer"/>
      <xsd:attribute name="start" type="xsd:integer"/>
      <xsd:attribute name="linePitch" type="xsd:integer"/>
      <xsd:attribute name="percent" type="xsd:integer"/>
      <xsd:attribute name="allStyles" type="xsd:integer"/>
      <xsd:attribute name="customStyles" type="xsd:integer"/>
      <xsd:attribute name="latentStyles" type="xsd:integer"/>
      <xsd:attribute name="stylesInUse" type="xsd:integer"/>
      <xsd:attribute name="headingStyles" type="xsd:integer"/>
      <xsd:attribute name="numberingStyles" type="xsd:integer"/>
      <xsd:attribute name="tableStyles" type="xsd:integer"/>
      <xsd:attribute name="directFormattingOnRuns" type="xsd:integer"/>
      <xsd:attribute name="directFormattingOnParagraphs" type="xsd:integer"/>
      <xsd:attribute name="directFormattingOnNumbering" type="xsd:integer"/>
      <xsd:attribute name="directFormattingOnTables" type="xsd:integer"/>
      <xsd:attribute name="clearFormatting" type="xsd:integer"/>
      <xsd:attribute name="top3HeadingStyles" type="xsd:integer"/>
      <xsd:attribute name="visibleStyles" type="xsd:integer"/>
      <xsd:attribute name="alternateStyleNames" type="xsd:integer"/>
      <xsd:attribute name="bg1" type="xsd:string"/>
      <xsd:attribute name="t1" type="xsd:string"/>
      <xsd:attribute name="bg2" type="xsd:string"/>
      <xsd:attribute name="t2" type="xsd:string"/>
      <xsd:attribute name="accent1" type="xsd:string"/>
      <xsd:attribute name="accent2" type="xsd:string"/>
      <xsd:attribute name="accent3" type="xsd:string"/>
      <xsd:attribute name="accent4" type="xsd:string"/>
      <xsd:attribute name="accent5" type="xsd:string"/>
      <xsd:attribute name="accent6" type="xsd:string"/>
      <xsd:attribute name="hyperlink" type="xsd:string"/>
      <xsd:attribute name="followedHyperlink" type="xsd:string"/>
      <xsd:attribute name="namespaceuri" type="xsd:string"/>
      <xsd:attribute name="usb0" type="xsd:string"/>
      <xsd:attribute name="usb1" type="xsd:string"/>
      <xsd:attribute name="usb2" type="xsd:integer"/>
      <xsd:attribute name="usb3" type="xsd:integer"/>
      <xsd:attribute name="csb0" type="xsd:string"/>
      <xsd:attribute name="csb1" type="xsd:integer"/>
      <xsd:attribute name="eastAsia" type="xsd:string"/>
      <xsd:attribute name="bidi" type="xsd:string"/>
      <xsd:attribute name="defLockedState" type="xsd:integer"/>
      <xsd:attribute name="defUIPriority" type="xsd:integer"/>
      <xsd:attribute name="defSemiHidden" type="xsd:integer"/>
      <xsd:attribute name="defUnhideWhenUsed" type="xsd:integer"/>
      <xsd:attribute name="defQFormat" type="xsd:integer"/>
      <xsd:attribute name="count" type="xsd:integer"/>
      <xsd:attribute name="qFormat" type="xsd:integer"/>
      <xsd:attribute name="semiHidden" type="xsd:integer"/>
      <xsd:attribute name="unhideWhenUsed" type="xsd:integer"/>
      <xsd:attribute name="uiPriority" type="xsd:integer"/>
      <xsd:attribute name="default" type="xsd:integer"/>
      <xsd:attribute name="styleId" type="xsd:string"/>
      <xsd:attribute name="customStyle" type="xsd:integer"/>
      <xsd:attribute name="pos" type="xsd:integer"/>
    </xsd:schema>
  </Schema>
  <Schema ID="Schema5" Namespace="http://schemas.openxmlformats.org/package/2006/relationships">
    <xsd:schema xmlns:xsd="http://www.w3.org/2001/XMLSchema" xmlns:ns0="http://schemas.openxmlformats.org/package/2006/relationships" xmlns="" targetNamespace="http://schemas.openxmlformats.org/package/2006/relationships">
      <xsd:element nillable="true" name="Relationships">
        <xsd:complexType>
          <xsd:sequence minOccurs="0">
            <xsd:element minOccurs="0" maxOccurs="unbounded" nillable="true" name="Relationship" form="qualified">
              <xsd:complexType>
                <xsd:attribute name="Id" form="unqualified" type="xsd:string"/>
                <xsd:attribute name="Type" form="unqualified" type="xsd:anyURI"/>
                <xsd:attribute name="Target" form="unqualified" type="xsd:string"/>
              </xsd:complexType>
            </xsd:element>
          </xsd:sequence>
        </xsd:complexType>
      </xsd:element>
    </xsd:schema>
  </Schema>
  <Schema ID="Schema6" Namespace="http://schemas.openxmlformats.org/package/2006/metadata/core-properties">
    <xsd:schema xmlns:xsd="http://www.w3.org/2001/XMLSchema" xmlns:ns0="http://schemas.openxmlformats.org/package/2006/metadata/core-properties" xmlns:ns1="http://purl.org/dc/terms/" xmlns:ns2="http://purl.org/dc/elements/1.1/" xmlns="" targetNamespace="http://schemas.openxmlformats.org/package/2006/metadata/core-properties">
      <xsd:import namespace="http://purl.org/dc/terms/"/>
      <xsd:import namespace="http://purl.org/dc/elements/1.1/"/>
      <xsd:element nillable="true" name="coreProperties">
        <xsd:complexType>
          <xsd:sequence minOccurs="0">
            <xsd:element minOccurs="0" ref="ns2:title"/>
            <xsd:element minOccurs="0" ref="ns2:subject"/>
            <xsd:element minOccurs="0" ref="ns2:creator"/>
            <xsd:element minOccurs="0" nillable="true" type="xsd:string" name="keywords" form="qualified"/>
            <xsd:element minOccurs="0" ref="ns2:description"/>
            <xsd:element minOccurs="0" nillable="true" type="xsd:string" name="lastModifiedBy" form="qualified"/>
            <xsd:element minOccurs="0" nillable="true" type="xsd:integer" name="revision" form="qualified"/>
            <xsd:element minOccurs="0" nillable="true" type="xsd:dateTime" name="lastPrinted" form="qualified"/>
            <xsd:element minOccurs="0" ref="ns1:created"/>
            <xsd:element minOccurs="0" ref="ns1:modified"/>
          </xsd:sequence>
        </xsd:complexType>
      </xsd:element>
    </xsd:schema>
  </Schema>
  <Schema ID="Schema7" Namespace="http://schemas.openxmlformats.org/officeDocument/2006/math">
    <xsd:schema xmlns:xsd="http://www.w3.org/2001/XMLSchema" xmlns:ns0="http://schemas.openxmlformats.org/officeDocument/2006/math" xmlns="" targetNamespace="http://schemas.openxmlformats.org/officeDocument/2006/math">
      <xsd:element nillable="true" name="mathPr">
        <xsd:complexType>
          <xsd:sequence minOccurs="0">
            <xsd:element minOccurs="0" nillable="true" name="mathFont" form="qualified">
              <xsd:complexType>
                <xsd:attribute ref="ns0:val"/>
              </xsd:complexType>
            </xsd:element>
            <xsd:element minOccurs="0" nillable="true" name="brkBin" form="qualified">
              <xsd:complexType>
                <xsd:attribute ref="ns0:val"/>
              </xsd:complexType>
            </xsd:element>
            <xsd:element minOccurs="0" nillable="true" name="brkBinSub" form="qualified">
              <xsd:complexType>
                <xsd:attribute ref="ns0:val"/>
              </xsd:complexType>
            </xsd:element>
            <xsd:element minOccurs="0" nillable="true" name="smallFrac" form="qualified">
              <xsd:complexType>
                <xsd:attribute ref="ns0:val"/>
              </xsd:complexType>
            </xsd:element>
            <xsd:element minOccurs="0" nillable="true" type="xsd:string" name="dispDef" form="qualified"/>
            <xsd:element minOccurs="0" nillable="true" name="lMargin" form="qualified">
              <xsd:complexType>
                <xsd:attribute ref="ns0:val"/>
              </xsd:complexType>
            </xsd:element>
            <xsd:element minOccurs="0" nillable="true" name="rMargin" form="qualified">
              <xsd:complexType>
                <xsd:attribute ref="ns0:val"/>
              </xsd:complexType>
            </xsd:element>
            <xsd:element minOccurs="0" nillable="true" name="defJc" form="qualified">
              <xsd:complexType>
                <xsd:attribute ref="ns0:val"/>
              </xsd:complexType>
            </xsd:element>
            <xsd:element minOccurs="0" nillable="true" name="wrapIndent" form="qualified">
              <xsd:complexType>
                <xsd:attribute ref="ns0:val"/>
              </xsd:complexType>
            </xsd:element>
            <xsd:element minOccurs="0" nillable="true" name="intLim" form="qualified">
              <xsd:complexType>
                <xsd:attribute ref="ns0:val"/>
              </xsd:complexType>
            </xsd:element>
            <xsd:element minOccurs="0" nillable="true" name="naryLim" form="qualified">
              <xsd:complexType>
                <xsd:attribute ref="ns0:val"/>
              </xsd:complexType>
            </xsd:element>
          </xsd:sequence>
        </xsd:complexType>
      </xsd:element>
      <xsd:attribute name="val" type="xsd:string"/>
    </xsd:schema>
  </Schema>
  <Schema ID="Schema8" Namespace="http://schemas.openxmlformats.org/officeDocument/2006/extended-properties">
    <xsd:schema xmlns:xsd="http://www.w3.org/2001/XMLSchema" xmlns:ns0="http://schemas.openxmlformats.org/officeDocument/2006/extended-properties" xmlns:ns1="http://schemas.openxmlformats.org/officeDocument/2006/docPropsVTypes" xmlns="" targetNamespace="http://schemas.openxmlformats.org/officeDocument/2006/extended-properties">
      <xsd:import namespace="http://schemas.openxmlformats.org/officeDocument/2006/docPropsVTypes"/>
      <xsd:element nillable="true" name="Properties">
        <xsd:complexType>
          <xsd:sequence minOccurs="0">
            <xsd:element minOccurs="0" nillable="true" type="xsd:string" name="Template" form="qualified"/>
            <xsd:element minOccurs="0" nillable="true" type="xsd:integer" name="TotalTime" form="qualified"/>
            <xsd:element minOccurs="0" nillable="true" type="xsd:integer" name="Pages" form="qualified"/>
            <xsd:element minOccurs="0" nillable="true" type="xsd:integer" name="Words" form="qualified"/>
            <xsd:element minOccurs="0" nillable="true" type="xsd:integer" name="Characters" form="qualified"/>
            <xsd:element minOccurs="0" nillable="true" type="xsd:string" name="Application" form="qualified"/>
            <xsd:element minOccurs="0" nillable="true" type="xsd:integer" name="DocSecurity" form="qualified"/>
            <xsd:element minOccurs="0" nillable="true" type="xsd:integer" name="Lines" form="qualified"/>
            <xsd:element minOccurs="0" nillable="true" type="xsd:integer" name="Paragraphs" form="qualified"/>
            <xsd:element minOccurs="0" nillable="true" type="xsd:boolean" name="ScaleCrop" form="qualified"/>
            <xsd:element minOccurs="0" nillable="true" name="HeadingPairs" form="qualified">
              <xsd:complexType>
                <xsd:sequence minOccurs="0">
                  <xsd:element minOccurs="0" ref="ns1:vector"/>
                </xsd:sequence>
              </xsd:complexType>
            </xsd:element>
            <xsd:element minOccurs="0" nillable="true" name="TitlesOfParts" form="qualified">
              <xsd:complexType>
                <xsd:sequence minOccurs="0">
                  <xsd:element minOccurs="0" ref="ns1:vector"/>
                </xsd:sequence>
              </xsd:complexType>
            </xsd:element>
            <xsd:element minOccurs="0" nillable="true" type="xsd:string" name="Company" form="qualified"/>
            <xsd:element minOccurs="0" nillable="true" type="xsd:boolean" name="LinksUpToDate" form="qualified"/>
            <xsd:element minOccurs="0" nillable="true" type="xsd:integer" name="CharactersWithSpaces" form="qualified"/>
            <xsd:element minOccurs="0" nillable="true" type="xsd:boolean" name="SharedDoc" form="qualified"/>
            <xsd:element minOccurs="0" nillable="true" type="xsd:boolean" name="HyperlinksChanged" form="qualified"/>
            <xsd:element minOccurs="0" nillable="true" type="xsd:double" name="AppVersion" form="qualified"/>
          </xsd:sequence>
        </xsd:complexType>
      </xsd:element>
    </xsd:schema>
  </Schema>
  <Schema ID="Schema9" Namespace="http://schemas.openxmlformats.org/officeDocument/2006/docPropsVTypes">
    <xsd:schema xmlns:xsd="http://www.w3.org/2001/XMLSchema" xmlns:ns0="http://schemas.openxmlformats.org/officeDocument/2006/docPropsVTypes" xmlns="" targetNamespace="http://schemas.openxmlformats.org/officeDocument/2006/docPropsVTypes">
      <xsd:element nillable="true" name="vector">
        <xsd:complexType>
          <xsd:sequence minOccurs="0" maxOccurs="unbounded">
            <xsd:element minOccurs="0" maxOccurs="unbounded" nillable="true" name="variant" form="qualified">
              <xsd:complexType>
                <xsd:all>
                  <xsd:element minOccurs="0" nillable="true" type="xsd:string" name="lpstr" form="qualified"/>
                  <xsd:element minOccurs="0" nillable="true" type="xsd:integer" name="i4" form="qualified"/>
                </xsd:all>
              </xsd:complexType>
            </xsd:element>
            <xsd:element minOccurs="0" nillable="true" type="xsd:string" name="lpstr" form="qualified"/>
          </xsd:sequence>
          <xsd:attribute name="size" form="unqualified" type="xsd:integer"/>
          <xsd:attribute name="baseType" form="unqualified" type="xsd:string"/>
        </xsd:complexType>
      </xsd:element>
    </xsd:schema>
  </Schema>
  <Schema ID="Schema10" Namespace="http://schemas.openxmlformats.org/officeDocument/2006/customXml">
    <xsd:schema xmlns:xsd="http://www.w3.org/2001/XMLSchema" xmlns:ns0="http://schemas.openxmlformats.org/officeDocument/2006/customXml" xmlns="" targetNamespace="http://schemas.openxmlformats.org/officeDocument/2006/customXml">
      <xsd:element nillable="true" name="datastoreItem">
        <xsd:complexType>
          <xsd:sequence minOccurs="0">
            <xsd:element minOccurs="0" nillable="true" name="schemaRefs" form="qualified">
              <xsd:complexType>
                <xsd:sequence minOccurs="0">
                  <xsd:element minOccurs="0" nillable="true" name="schemaRef" form="qualified">
                    <xsd:complexType>
                      <xsd:attribute ref="ns0:uri"/>
                    </xsd:complexType>
                  </xsd:element>
                </xsd:sequence>
              </xsd:complexType>
            </xsd:element>
          </xsd:sequence>
          <xsd:attribute ref="ns0:itemID"/>
        </xsd:complexType>
      </xsd:element>
      <xsd:attribute name="itemID" type="xsd:string"/>
      <xsd:attribute name="uri" type="xsd:anyURI"/>
    </xsd:schema>
  </Schema>
  <Schema ID="Schema11" Namespace="http://schemas.openxmlformats.org/officeDocument/2006/bibliography">
    <xsd:schema xmlns:xsd="http://www.w3.org/2001/XMLSchema" xmlns:ns0="http://schemas.openxmlformats.org/officeDocument/2006/bibliography" xmlns="" targetNamespace="http://schemas.openxmlformats.org/officeDocument/2006/bibliography">
      <xsd:element nillable="true" name="Sources">
        <xsd:complexType>
          <xsd:attribute name="SelectedStyle" form="unqualified" type="xsd:string"/>
          <xsd:attribute name="StyleName" form="unqualified" type="xsd:string"/>
        </xsd:complexType>
      </xsd:element>
    </xsd:schema>
  </Schema>
  <Schema ID="Schema12" Namespace="http://schemas.openxmlformats.org/markup-compatibility/2006">
    <xsd:schema xmlns:xsd="http://www.w3.org/2001/XMLSchema" xmlns:ns0="http://schemas.openxmlformats.org/markup-compatibility/2006" xmlns="" targetNamespace="http://schemas.openxmlformats.org/markup-compatibility/2006">
      <xsd:attribute name="Ignorable" type="xsd:string"/>
    </xsd:schema>
  </Schema>
  <Schema ID="Schema13" Namespace="http://schemas.openxmlformats.org/drawingml/2006/main">
    <xsd:schema xmlns:xsd="http://www.w3.org/2001/XMLSchema" xmlns:ns0="http://schemas.openxmlformats.org/drawingml/2006/main" xmlns:ns1="http://schemas.microsoft.com/office/thememl/2012/main" xmlns="" targetNamespace="http://schemas.openxmlformats.org/drawingml/2006/main">
      <xsd:import namespace="http://schemas.microsoft.com/office/thememl/2012/main"/>
      <xsd:element nillable="true" name="theme">
        <xsd:complexType>
          <xsd:sequence minOccurs="0">
            <xsd:element minOccurs="0" nillable="true" name="themeElements" form="qualified">
              <xsd:complexType>
                <xsd:sequence minOccurs="0">
                  <xsd:element minOccurs="0" nillable="true" name="clrScheme" form="qualified">
                    <xsd:complexType>
                      <xsd:sequence minOccurs="0">
                        <xsd:element minOccurs="0" nillable="true" name="dk1" form="qualified">
                          <xsd:complexType>
                            <xsd:sequence minOccurs="0">
                              <xsd:element minOccurs="0" nillable="true" name="sysClr" form="qualified">
                                <xsd:complexType>
                                  <xsd:attribute name="val" form="unqualified" type="xsd:string"/>
                                  <xsd:attribute name="lastClr" form="unqualified" type="xsd:integer"/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lt1" form="qualified">
                          <xsd:complexType>
                            <xsd:sequence minOccurs="0">
                              <xsd:element minOccurs="0" nillable="true" name="sysClr" form="qualified">
                                <xsd:complexType>
                                  <xsd:attribute name="val" form="unqualified" type="xsd:string"/>
                                  <xsd:attribute name="lastClr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dk2" form="qualified">
                          <xsd:complexType>
                            <xsd:sequence minOccurs="0">
                              <xsd:element minOccurs="0" nillable="true" name="srgbClr" form="qualified">
                                <xsd:complexType>
                                  <xsd:attribute name="val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lt2" form="qualified">
                          <xsd:complexType>
                            <xsd:sequence minOccurs="0">
                              <xsd:element minOccurs="0" nillable="true" name="srgbClr" form="qualified">
                                <xsd:complexType>
                                  <xsd:attribute name="val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accent1" form="qualified">
                          <xsd:complexType>
                            <xsd:sequence minOccurs="0">
                              <xsd:element minOccurs="0" nillable="true" name="srgbClr" form="qualified">
                                <xsd:complexType>
                                  <xsd:attribute name="val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accent2" form="qualified">
                          <xsd:complexType>
                            <xsd:sequence minOccurs="0">
                              <xsd:element minOccurs="0" nillable="true" name="srgbClr" form="qualified">
                                <xsd:complexType>
                                  <xsd:attribute name="val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accent3" form="qualified">
                          <xsd:complexType>
                            <xsd:sequence minOccurs="0">
                              <xsd:element minOccurs="0" nillable="true" name="srgbClr" form="qualified">
                                <xsd:complexType>
                                  <xsd:attribute name="val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accent4" form="qualified">
                          <xsd:complexType>
                            <xsd:sequence minOccurs="0">
                              <xsd:element minOccurs="0" nillable="true" name="srgbClr" form="qualified">
                                <xsd:complexType>
                                  <xsd:attribute name="val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accent5" form="qualified">
                          <xsd:complexType>
                            <xsd:sequence minOccurs="0">
                              <xsd:element minOccurs="0" nillable="true" name="srgbClr" form="qualified">
                                <xsd:complexType>
                                  <xsd:attribute name="val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accent6" form="qualified">
                          <xsd:complexType>
                            <xsd:sequence minOccurs="0">
                              <xsd:element minOccurs="0" nillable="true" name="srgbClr" form="qualified">
                                <xsd:complexType>
                                  <xsd:attribute name="val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hlink" form="qualified">
                          <xsd:complexType>
                            <xsd:sequence minOccurs="0">
                              <xsd:element minOccurs="0" nillable="true" name="srgbClr" form="qualified">
                                <xsd:complexType>
                                  <xsd:attribute name="val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folHlink" form="qualified">
                          <xsd:complexType>
                            <xsd:sequence minOccurs="0">
                              <xsd:element minOccurs="0" nillable="true" name="srgbClr" form="qualified">
                                <xsd:complexType>
                                  <xsd:attribute name="val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  <xsd:element minOccurs="0" nillable="true" name="fontScheme" form="qualified">
                    <xsd:complexType>
                      <xsd:sequence minOccurs="0">
                        <xsd:element minOccurs="0" nillable="true" name="majorFont" form="qualified">
                          <xsd:complexType>
                            <xsd:sequence minOccurs="0">
                              <xsd:element minOccurs="0" nillable="true" name="latin" form="qualified">
                                <xsd:complexType>
                                  <xsd:attribute name="typeface" form="unqualified" type="xsd:string"/>
                                  <xsd:attribute name="panose" form="unqualified" type="xsd:string"/>
                                </xsd:complexType>
                              </xsd:element>
                              <xsd:element minOccurs="0" nillable="true" name="ea" form="qualified">
                                <xsd:complexType>
                                  <xsd:attribute name="typeface" form="unqualified" type="xsd:string"/>
                                </xsd:complexType>
                              </xsd:element>
                              <xsd:element minOccurs="0" nillable="true" name="cs" form="qualified">
                                <xsd:complexType>
                                  <xsd:attribute name="typeface" form="unqualified" type="xsd:string"/>
                                </xsd:complexType>
                              </xsd:element>
                              <xsd:element minOccurs="0" maxOccurs="unbounded" nillable="true" name="font" form="qualified">
                                <xsd:complexType>
                                  <xsd:attribute name="script" form="unqualified" type="xsd:string"/>
                                  <xsd:attribute name="typefac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minorFont" form="qualified">
                          <xsd:complexType>
                            <xsd:sequence minOccurs="0">
                              <xsd:element minOccurs="0" nillable="true" name="latin" form="qualified">
                                <xsd:complexType>
                                  <xsd:attribute name="typeface" form="unqualified" type="xsd:string"/>
                                  <xsd:attribute name="panose" form="unqualified" type="xsd:string"/>
                                </xsd:complexType>
                              </xsd:element>
                              <xsd:element minOccurs="0" nillable="true" name="ea" form="qualified">
                                <xsd:complexType>
                                  <xsd:attribute name="typeface" form="unqualified" type="xsd:string"/>
                                </xsd:complexType>
                              </xsd:element>
                              <xsd:element minOccurs="0" nillable="true" name="cs" form="qualified">
                                <xsd:complexType>
                                  <xsd:attribute name="typeface" form="unqualified" type="xsd:string"/>
                                </xsd:complexType>
                              </xsd:element>
                              <xsd:element minOccurs="0" maxOccurs="unbounded" nillable="true" name="font" form="qualified">
                                <xsd:complexType>
                                  <xsd:attribute name="script" form="unqualified" type="xsd:string"/>
                                  <xsd:attribute name="typefac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  <xsd:element minOccurs="0" nillable="true" name="fmtScheme" form="qualified">
                    <xsd:complexType>
                      <xsd:sequence minOccurs="0">
                        <xsd:element minOccurs="0" nillable="true" name="fillStyleLst" form="qualified">
                          <xsd:complexType>
                            <xsd:sequence minOccurs="0">
                              <xsd:element minOccurs="0" nillable="true" name="solidFill" form="qualified">
                                <xsd:complexType>
                                  <xsd:sequence minOccurs="0">
                                    <xsd:element minOccurs="0" nillable="true" name="schemeClr" form="qualified">
                                      <xsd:complexType>
                                        <xsd:attribute name="val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gradFill" form="qualified">
                                <xsd:complexType>
                                  <xsd:sequence minOccurs="0">
                                    <xsd:element minOccurs="0" nillable="true" name="gsLst" form="qualified">
                                      <xsd:complexType>
                                        <xsd:sequence minOccurs="0">
                                          <xsd:element minOccurs="0" maxOccurs="unbounded" nillable="true" name="gs" form="qualified">
                                            <xsd:complexType>
                                              <xsd:sequence minOccurs="0">
                                                <xsd:element minOccurs="0" nillable="true" name="schemeClr" form="qualified">
                                                  <xsd:complexType>
                                                    <xsd:all>
                                                      <xsd:element minOccurs="0" nillable="true" name="lumMod" form="qualified">
                                                        <xsd:complexType>
                                                          <xsd:attribute name="val" form="unqualified" type="xsd:integer"/>
                                                        </xsd:complexType>
                                                      </xsd:element>
                                                      <xsd:element minOccurs="0" nillable="true" name="satMod" form="qualified">
                                                        <xsd:complexType>
                                                          <xsd:attribute name="val" form="unqualified" type="xsd:integer"/>
                                                        </xsd:complexType>
                                                      </xsd:element>
                                                      <xsd:element minOccurs="0" nillable="true" name="tint" form="qualified">
                                                        <xsd:complexType>
                                                          <xsd:attribute name="val" form="unqualified" type="xsd:integer"/>
                                                        </xsd:complexType>
                                                      </xsd:element>
                                                      <xsd:element minOccurs="0" nillable="true" name="shade" form="qualified">
                                                        <xsd:complexType>
                                                          <xsd:attribute name="val" form="unqualified" type="xsd:integer"/>
                                                        </xsd:complexType>
                                                      </xsd:element>
                                                    </xsd:all>
                                                    <xsd:attribute name="val" form="unqualified" type="xsd:string"/>
                                                  </xsd:complexType>
                                                </xsd:element>
                                              </xsd:sequence>
                                              <xsd:attribute name="pos" form="unqualified" type="xsd:integer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nillable="true" name="lin" form="qualified">
                                      <xsd:complexType>
                                        <xsd:attribute name="ang" form="unqualified" type="xsd:integer"/>
                                        <xsd:attribute name="scaled" form="unqualified" type="xsd:integer"/>
                                      </xsd:complexType>
                                    </xsd:element>
                                  </xsd:sequence>
                                  <xsd:attribute name="rotWithShape" form="unqualified" type="xsd:integer"/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lnStyleLst" form="qualified">
                          <xsd:complexType>
                            <xsd:sequence minOccurs="0">
                              <xsd:element minOccurs="0" maxOccurs="unbounded" nillable="true" name="ln" form="qualified">
                                <xsd:complexType>
                                  <xsd:sequence minOccurs="0">
                                    <xsd:element minOccurs="0" nillable="true" name="solidFill" form="qualified">
                                      <xsd:complexType>
                                        <xsd:sequence minOccurs="0">
                                          <xsd:element minOccurs="0" nillable="true" name="schemeClr" form="qualified">
                                            <xsd:complexType>
                                              <xsd:attribute name="val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nillable="true" name="prstDash" form="qualified">
                                      <xsd:complexType>
                                        <xsd:attribute name="val" form="unqualified" type="xsd:string"/>
                                      </xsd:complexType>
                                    </xsd:element>
                                    <xsd:element minOccurs="0" nillable="true" name="miter" form="qualified">
                                      <xsd:complexType>
                                        <xsd:attribute name="lim" form="unqualified" type="xsd:integer"/>
                                      </xsd:complexType>
                                    </xsd:element>
                                  </xsd:sequence>
                                  <xsd:attribute name="w" form="unqualified" type="xsd:integer"/>
                                  <xsd:attribute name="cap" form="unqualified" type="xsd:string"/>
                                  <xsd:attribute name="cmpd" form="unqualified" type="xsd:string"/>
                                  <xsd:attribute name="algn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effectStyleLst" form="qualified">
                          <xsd:complexType>
                            <xsd:sequence minOccurs="0">
                              <xsd:element minOccurs="0" maxOccurs="unbounded" nillable="true" name="effectStyle" form="qualified">
                                <xsd:complexType>
                                  <xsd:sequence minOccurs="0">
                                    <xsd:element minOccurs="0" nillable="true" name="effectLst" form="qualified">
                                      <xsd:complexType>
                                        <xsd:sequence minOccurs="0">
                                          <xsd:element minOccurs="0" nillable="true" name="outerShdw" form="qualified">
                                            <xsd:complexType>
                                              <xsd:sequence minOccurs="0">
                                                <xsd:element minOccurs="0" nillable="true" name="srgbClr" form="qualified">
                                                  <xsd:complexType>
                                                    <xsd:sequence minOccurs="0">
                                                      <xsd:element minOccurs="0" nillable="true" name="alpha" form="qualified">
                                                        <xsd:complexType>
                                                          <xsd:attribute name="val" form="unqualified" type="xsd:integer"/>
                                                        </xsd:complexType>
                                                      </xsd:element>
                                                    </xsd:sequence>
                                                    <xsd:attribute name="val" form="unqualified" type="xsd:integer"/>
                                                  </xsd:complexType>
                                                </xsd:element>
                                              </xsd:sequence>
                                              <xsd:attribute name="blurRad" form="unqualified" type="xsd:integer"/>
                                              <xsd:attribute name="dist" form="unqualified" type="xsd:integer"/>
                                              <xsd:attribute name="dir" form="unqualified" type="xsd:integer"/>
                                              <xsd:attribute name="algn" form="unqualified" type="xsd:string"/>
                                              <xsd:attribute name="rotWithShape" form="unqualified" type="xsd:integer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bgFillStyleLst" form="qualified">
                          <xsd:complexType>
                            <xsd:sequence minOccurs="0">
                              <xsd:element minOccurs="0" maxOccurs="unbounded" nillable="true" name="solidFill" form="qualified">
                                <xsd:complexType>
                                  <xsd:sequence minOccurs="0">
                                    <xsd:element minOccurs="0" nillable="true" name="schemeClr" form="qualified">
                                      <xsd:complexType>
                                        <xsd:sequence minOccurs="0">
                                          <xsd:element minOccurs="0" nillable="true" name="tint" form="qualified">
                                            <xsd:complexType>
                                              <xsd:attribute name="val" form="unqualified" type="xsd:integer"/>
                                            </xsd:complexType>
                                          </xsd:element>
                                          <xsd:element minOccurs="0" nillable="true" name="satMod" form="qualified">
                                            <xsd:complexType>
                                              <xsd:attribute name="val" form="unqualified" type="xsd:integer"/>
                                            </xsd:complexType>
                                          </xsd:element>
                                        </xsd:sequence>
                                        <xsd:attribute name="val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nillable="true" name="gradFill" form="qualified">
                                <xsd:complexType>
                                  <xsd:sequence minOccurs="0">
                                    <xsd:element minOccurs="0" nillable="true" name="gsLst" form="qualified">
                                      <xsd:complexType>
                                        <xsd:sequence minOccurs="0">
                                          <xsd:element minOccurs="0" maxOccurs="unbounded" nillable="true" name="gs" form="qualified">
                                            <xsd:complexType>
                                              <xsd:sequence minOccurs="0">
                                                <xsd:element minOccurs="0" nillable="true" name="schemeClr" form="qualified">
                                                  <xsd:complexType>
                                                    <xsd:all>
                                                      <xsd:element minOccurs="0" nillable="true" name="tint" form="qualified">
                                                        <xsd:complexType>
                                                          <xsd:attribute name="val" form="unqualified" type="xsd:integer"/>
                                                        </xsd:complexType>
                                                      </xsd:element>
                                                      <xsd:element minOccurs="0" nillable="true" name="satMod" form="qualified">
                                                        <xsd:complexType>
                                                          <xsd:attribute name="val" form="unqualified" type="xsd:integer"/>
                                                        </xsd:complexType>
                                                      </xsd:element>
                                                      <xsd:element minOccurs="0" nillable="true" name="shade" form="qualified">
                                                        <xsd:complexType>
                                                          <xsd:attribute name="val" form="unqualified" type="xsd:integer"/>
                                                        </xsd:complexType>
                                                      </xsd:element>
                                                      <xsd:element minOccurs="0" nillable="true" name="lumMod" form="qualified">
                                                        <xsd:complexType>
                                                          <xsd:attribute name="val" form="unqualified" type="xsd:integer"/>
                                                        </xsd:complexType>
                                                      </xsd:element>
                                                    </xsd:all>
                                                    <xsd:attribute name="val" form="unqualified" type="xsd:string"/>
                                                  </xsd:complexType>
                                                </xsd:element>
                                              </xsd:sequence>
                                              <xsd:attribute name="pos" form="unqualified" type="xsd:integer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nillable="true" name="lin" form="qualified">
                                      <xsd:complexType>
                                        <xsd:attribute name="ang" form="unqualified" type="xsd:integer"/>
                                        <xsd:attribute name="scaled" form="unqualified" type="xsd:integer"/>
                                      </xsd:complexType>
                                    </xsd:element>
                                  </xsd:sequence>
                                  <xsd:attribute name="rotWithShape" form="unqualified" type="xsd:integer"/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  <xsd:element minOccurs="0" nillable="true" type="xsd:string" name="objectDefaults" form="qualified"/>
            <xsd:element minOccurs="0" nillable="true" type="xsd:string" name="extraClrSchemeLst" form="qualified"/>
            <xsd:element minOccurs="0" nillable="true" name="extLst" form="qualified">
              <xsd:complexType>
                <xsd:sequence minOccurs="0">
                  <xsd:element minOccurs="0" nillable="true" name="ext" form="qualified">
                    <xsd:complexType>
                      <xsd:sequence minOccurs="0">
                        <xsd:element minOccurs="0" ref="ns1:themeFamily"/>
                      </xsd:sequence>
                      <xsd:attribute name="uri" form="unqualified" type="xsd:string"/>
                    </xsd:complexType>
                  </xsd:element>
                </xsd:sequence>
              </xsd:complexType>
            </xsd:element>
          </xsd:sequence>
          <xsd:attribute name="name" form="unqualified" type="xsd:string"/>
        </xsd:complexType>
      </xsd:element>
    </xsd:schema>
  </Schema>
  <Schema ID="Schema14" Namespace="http://schemas.microsoft.com/office/word/2012/wordml">
    <xsd:schema xmlns:xsd="http://www.w3.org/2001/XMLSchema" xmlns:ns0="http://schemas.microsoft.com/office/word/2012/wordml" xmlns="" targetNamespace="http://schemas.microsoft.com/office/word/2012/wordml">
      <xsd:element nillable="true" name="docId">
        <xsd:complexType>
          <xsd:attribute ref="ns0:val"/>
        </xsd:complexType>
      </xsd:element>
      <xsd:attribute name="val" type="xsd:string"/>
    </xsd:schema>
  </Schema>
  <Schema ID="Schema15" Namespace="http://schemas.microsoft.com/office/word/2010/wordml">
    <xsd:schema xmlns:xsd="http://www.w3.org/2001/XMLSchema" xmlns:ns0="http://schemas.microsoft.com/office/word/2010/wordml" xmlns="" targetNamespace="http://schemas.microsoft.com/office/word/2010/wordml">
      <xsd:element nillable="true" name="defaultImageDpi">
        <xsd:complexType>
          <xsd:attribute ref="ns0:val"/>
        </xsd:complexType>
      </xsd:element>
      <xsd:attribute name="val" type="xsd:integer"/>
    </xsd:schema>
  </Schema>
  <Schema ID="Schema16" Namespace="http://schemas.microsoft.com/office/thememl/2012/main">
    <xsd:schema xmlns:xsd="http://www.w3.org/2001/XMLSchema" xmlns:ns0="http://schemas.microsoft.com/office/thememl/2012/main" xmlns="" targetNamespace="http://schemas.microsoft.com/office/thememl/2012/main">
      <xsd:element nillable="true" name="themeFamily">
        <xsd:complexType>
          <xsd:attribute name="name" form="unqualified" type="xsd:string"/>
          <xsd:attribute name="id" form="unqualified" type="xsd:string"/>
          <xsd:attribute name="vid" form="unqualified" type="xsd:string"/>
        </xsd:complexType>
      </xsd:element>
    </xsd:schema>
  </Schema>
  <Schema ID="Schema17" Namespace="http://purl.org/dc/terms/">
    <xsd:schema xmlns:xsd="http://www.w3.org/2001/XMLSchema" xmlns:ns0="http://purl.org/dc/terms/" xmlns="" targetNamespace="http://purl.org/dc/terms/">
      <xsd:element nillable="true" type="xsd:dateTime" name="created"/>
      <xsd:element nillable="true" type="xsd:dateTime" name="modified"/>
    </xsd:schema>
  </Schema>
  <Schema ID="Schema18" Namespace="http://purl.org/dc/elements/1.1/">
    <xsd:schema xmlns:xsd="http://www.w3.org/2001/XMLSchema" xmlns:ns0="http://purl.org/dc/elements/1.1/" xmlns="" targetNamespace="http://purl.org/dc/elements/1.1/">
      <xsd:element nillable="true" type="xsd:string" name="title"/>
      <xsd:element nillable="true" type="xsd:string" name="subject"/>
      <xsd:element nillable="true" type="xsd:string" name="creator"/>
      <xsd:element nillable="true" type="xsd:string" name="description"/>
    </xsd:schema>
  </Schema>
  <Schema ID="Schema19" SchemaRef="Schema1 Schema2 Schema3 Schema4 Schema5 Schema6 Schema7 Schema8 Schema9 Schema10 Schema11 Schema12 Schema13 Schema14 Schema15 Schema16 Schema17 Schema18" Namespace="http://schemas.microsoft.com/office/2006/xmlPackage">
    <xsd:schema xmlns:xsd="http://www.w3.org/2001/XMLSchema" xmlns:ns0="http://schemas.openxmlformats.org/wordprocessingml/2006/main" xmlns:ns1="http://schemas.openxmlformats.org/package/2006/relationships" xmlns:ns2="http://schemas.openxmlformats.org/package/2006/metadata/core-properties" xmlns:ns3="http://schemas.openxmlformats.org/officeDocument/2006/extended-properties" xmlns:ns4="http://schemas.openxmlformats.org/officeDocument/2006/customXml" xmlns:ns5="http://schemas.openxmlformats.org/officeDocument/2006/bibliography" xmlns:ns6="http://schemas.openxmlformats.org/drawingml/2006/main" xmlns:ns7="http://schemas.microsoft.com/office/2006/xmlPackage" xmlns="" targetNamespace="http://schemas.microsoft.com/office/2006/xmlPackage">
      <xsd:import namespace="http://schemas.openxmlformats.org/wordprocessingml/2006/main"/>
      <xsd:import namespace="http://schemas.openxmlformats.org/package/2006/relationships"/>
      <xsd:import namespace="http://schemas.openxmlformats.org/package/2006/metadata/core-properties"/>
      <xsd:import namespace="http://schemas.openxmlformats.org/officeDocument/2006/extended-properties"/>
      <xsd:import namespace="http://schemas.openxmlformats.org/officeDocument/2006/customXml"/>
      <xsd:import namespace="http://schemas.openxmlformats.org/officeDocument/2006/bibliography"/>
      <xsd:import namespace="http://schemas.openxmlformats.org/drawingml/2006/main"/>
      <xsd:element nillable="true" name="package">
        <xsd:complexType>
          <xsd:sequence minOccurs="0">
            <xsd:element minOccurs="0" maxOccurs="unbounded" nillable="true" name="part" form="qualified">
              <xsd:complexType>
                <xsd:sequence minOccurs="0">
                  <xsd:element minOccurs="0" nillable="true" name="xmlData" form="qualified">
                    <xsd:complexType>
                      <xsd:all>
                        <xsd:element minOccurs="0" ref="ns1:Relationships"/>
                        <xsd:element minOccurs="0" ref="ns0:document"/>
                        <xsd:element minOccurs="0" ref="ns0:endnotes"/>
                        <xsd:element minOccurs="0" ref="ns0:footnotes"/>
                        <xsd:element minOccurs="0" ref="ns6:theme"/>
                        <xsd:element minOccurs="0" ref="ns0:settings"/>
                        <xsd:element minOccurs="0" ref="ns0:fonts"/>
                        <xsd:element minOccurs="0" ref="ns4:datastoreItem"/>
                        <xsd:element minOccurs="0" ref="ns0:styles"/>
                        <xsd:element minOccurs="0" ref="ns3:Properties"/>
                        <xsd:element minOccurs="0" ref="ns2:coreProperties"/>
                        <xsd:element minOccurs="0" ref="ns0:webSettings"/>
                        <xsd:element minOccurs="0" ref="ns5:Sources"/>
                      </xsd:all>
                      <xsd:attribute ref="ns7:originalXmlStandalone"/>
                    </xsd:complexType>
                  </xsd:element>
                </xsd:sequence>
                <xsd:attribute ref="ns7:name"/>
                <xsd:attribute ref="ns7:contentType"/>
                <xsd:attribute ref="ns7:padding"/>
              </xsd:complexType>
            </xsd:element>
          </xsd:sequence>
        </xsd:complexType>
      </xsd:element>
      <xsd:attribute name="name" type="xsd:string"/>
      <xsd:attribute name="contentType" type="xsd:string"/>
      <xsd:attribute name="padding" type="xsd:integer"/>
      <xsd:attribute name="originalXmlStandalone" type="xsd:string"/>
    </xsd:schema>
  </Schema>
  <Map ID="1" Name="package_Mapa" RootElement="package" SchemaID="Schema19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xmlMaps" Target="xmlMap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59"/>
  <sheetViews>
    <sheetView tabSelected="1" zoomScaleNormal="100" workbookViewId="0">
      <selection activeCell="B10" sqref="B10"/>
    </sheetView>
  </sheetViews>
  <sheetFormatPr defaultColWidth="32.85546875" defaultRowHeight="12" customHeight="1" x14ac:dyDescent="0.2"/>
  <cols>
    <col min="1" max="1" width="10.85546875" style="1" customWidth="1"/>
    <col min="2" max="2" width="60.42578125" style="1" customWidth="1"/>
    <col min="3" max="3" width="16.28515625" style="1" customWidth="1"/>
    <col min="4" max="4" width="18.42578125" style="1" customWidth="1"/>
    <col min="5" max="16384" width="32.85546875" style="1"/>
  </cols>
  <sheetData>
    <row r="2" spans="2:5" ht="12" customHeight="1" x14ac:dyDescent="0.2">
      <c r="B2" s="143" t="s">
        <v>61</v>
      </c>
      <c r="C2" s="143"/>
      <c r="D2" s="143"/>
      <c r="E2" s="3"/>
    </row>
    <row r="3" spans="2:5" ht="12" customHeight="1" x14ac:dyDescent="0.2">
      <c r="B3" s="143" t="s">
        <v>104</v>
      </c>
      <c r="C3" s="143"/>
      <c r="D3" s="143"/>
      <c r="E3" s="3"/>
    </row>
    <row r="4" spans="2:5" ht="12" customHeight="1" x14ac:dyDescent="0.2">
      <c r="B4" s="98"/>
      <c r="C4" s="98"/>
      <c r="D4" s="98"/>
      <c r="E4" s="3"/>
    </row>
    <row r="5" spans="2:5" ht="12" customHeight="1" x14ac:dyDescent="0.2">
      <c r="B5" s="143" t="s">
        <v>5</v>
      </c>
      <c r="C5" s="143"/>
      <c r="D5" s="143"/>
      <c r="E5" s="3"/>
    </row>
    <row r="6" spans="2:5" ht="12" customHeight="1" x14ac:dyDescent="0.2">
      <c r="B6" s="97"/>
      <c r="C6" s="97"/>
      <c r="D6" s="97"/>
      <c r="E6" s="3"/>
    </row>
    <row r="7" spans="2:5" ht="12" customHeight="1" x14ac:dyDescent="0.2">
      <c r="B7" s="143" t="s">
        <v>0</v>
      </c>
      <c r="C7" s="143"/>
      <c r="D7" s="143"/>
      <c r="E7" s="3"/>
    </row>
    <row r="8" spans="2:5" ht="12" customHeight="1" thickBot="1" x14ac:dyDescent="0.25">
      <c r="B8" s="98"/>
      <c r="C8" s="98"/>
      <c r="D8" s="98"/>
    </row>
    <row r="9" spans="2:5" ht="12" customHeight="1" thickBot="1" x14ac:dyDescent="0.25">
      <c r="B9" s="99" t="s">
        <v>16</v>
      </c>
      <c r="C9" s="100">
        <v>2014</v>
      </c>
      <c r="D9" s="100">
        <v>2013</v>
      </c>
    </row>
    <row r="10" spans="2:5" ht="12" customHeight="1" thickBot="1" x14ac:dyDescent="0.25">
      <c r="B10" s="101" t="s">
        <v>17</v>
      </c>
      <c r="C10" s="112">
        <f>SUM(C11,C16)</f>
        <v>7359</v>
      </c>
      <c r="D10" s="112">
        <f>SUM(D11,D16)</f>
        <v>24785</v>
      </c>
    </row>
    <row r="11" spans="2:5" ht="12" customHeight="1" x14ac:dyDescent="0.2">
      <c r="B11" s="102" t="s">
        <v>18</v>
      </c>
      <c r="C11" s="133">
        <f>SUM(C12:C15)</f>
        <v>5866</v>
      </c>
      <c r="D11" s="133">
        <f>SUM(D12:D15)</f>
        <v>21451</v>
      </c>
    </row>
    <row r="12" spans="2:5" ht="12" customHeight="1" x14ac:dyDescent="0.2">
      <c r="B12" s="103" t="s">
        <v>46</v>
      </c>
      <c r="C12" s="134">
        <v>636</v>
      </c>
      <c r="D12" s="134">
        <v>1175</v>
      </c>
    </row>
    <row r="13" spans="2:5" ht="12" customHeight="1" x14ac:dyDescent="0.2">
      <c r="B13" s="103" t="s">
        <v>47</v>
      </c>
      <c r="C13" s="134">
        <v>10</v>
      </c>
      <c r="D13" s="134">
        <v>16</v>
      </c>
    </row>
    <row r="14" spans="2:5" ht="12" customHeight="1" x14ac:dyDescent="0.2">
      <c r="B14" s="103" t="s">
        <v>48</v>
      </c>
      <c r="C14" s="134">
        <v>1557</v>
      </c>
      <c r="D14" s="134">
        <v>7926</v>
      </c>
    </row>
    <row r="15" spans="2:5" ht="12" customHeight="1" x14ac:dyDescent="0.2">
      <c r="B15" s="103" t="s">
        <v>49</v>
      </c>
      <c r="C15" s="134">
        <v>3663</v>
      </c>
      <c r="D15" s="134">
        <v>12334</v>
      </c>
      <c r="E15" s="30"/>
    </row>
    <row r="16" spans="2:5" ht="12" customHeight="1" x14ac:dyDescent="0.2">
      <c r="B16" s="102" t="s">
        <v>19</v>
      </c>
      <c r="C16" s="133">
        <f>SUM(C17:C19)</f>
        <v>1493</v>
      </c>
      <c r="D16" s="133">
        <f>SUM(D17:D19)</f>
        <v>3334</v>
      </c>
    </row>
    <row r="17" spans="2:4" ht="12" customHeight="1" x14ac:dyDescent="0.2">
      <c r="B17" s="103" t="s">
        <v>58</v>
      </c>
      <c r="C17" s="134"/>
      <c r="D17" s="134" t="s">
        <v>196</v>
      </c>
    </row>
    <row r="18" spans="2:4" ht="12" customHeight="1" x14ac:dyDescent="0.2">
      <c r="B18" s="103" t="s">
        <v>20</v>
      </c>
      <c r="C18" s="134">
        <v>500</v>
      </c>
      <c r="D18" s="134">
        <v>2723</v>
      </c>
    </row>
    <row r="19" spans="2:4" ht="12" customHeight="1" thickBot="1" x14ac:dyDescent="0.25">
      <c r="B19" s="103" t="s">
        <v>50</v>
      </c>
      <c r="C19" s="134">
        <v>993</v>
      </c>
      <c r="D19" s="134">
        <v>611</v>
      </c>
    </row>
    <row r="20" spans="2:4" ht="12" customHeight="1" thickBot="1" x14ac:dyDescent="0.25">
      <c r="B20" s="99" t="s">
        <v>21</v>
      </c>
      <c r="C20" s="113">
        <f>SUM(C21)</f>
        <v>74174</v>
      </c>
      <c r="D20" s="113">
        <f>SUM(D21)</f>
        <v>94254</v>
      </c>
    </row>
    <row r="21" spans="2:4" ht="12" customHeight="1" x14ac:dyDescent="0.2">
      <c r="B21" s="102" t="s">
        <v>22</v>
      </c>
      <c r="C21" s="133">
        <f>SUM(C22,C28)</f>
        <v>74174</v>
      </c>
      <c r="D21" s="133">
        <f>SUM(D22,D28)</f>
        <v>94254</v>
      </c>
    </row>
    <row r="22" spans="2:4" ht="12" customHeight="1" x14ac:dyDescent="0.2">
      <c r="B22" s="103" t="s">
        <v>197</v>
      </c>
      <c r="C22" s="133">
        <f>SUM(C23:C27)</f>
        <v>117897</v>
      </c>
      <c r="D22" s="133">
        <f>SUM(D23:D27)</f>
        <v>116492</v>
      </c>
    </row>
    <row r="23" spans="2:4" ht="12" hidden="1" customHeight="1" x14ac:dyDescent="0.2">
      <c r="B23" s="103" t="s">
        <v>23</v>
      </c>
      <c r="C23" s="134">
        <v>3396</v>
      </c>
      <c r="D23" s="134">
        <v>3396</v>
      </c>
    </row>
    <row r="24" spans="2:4" ht="12" hidden="1" customHeight="1" x14ac:dyDescent="0.2">
      <c r="B24" s="103" t="s">
        <v>24</v>
      </c>
      <c r="C24" s="134">
        <v>1260</v>
      </c>
      <c r="D24" s="134">
        <v>1260</v>
      </c>
    </row>
    <row r="25" spans="2:4" ht="12" hidden="1" customHeight="1" x14ac:dyDescent="0.2">
      <c r="B25" s="103" t="s">
        <v>25</v>
      </c>
      <c r="C25" s="134">
        <v>1369</v>
      </c>
      <c r="D25" s="134">
        <v>1369</v>
      </c>
    </row>
    <row r="26" spans="2:4" ht="12" hidden="1" customHeight="1" x14ac:dyDescent="0.2">
      <c r="B26" s="103" t="s">
        <v>26</v>
      </c>
      <c r="C26" s="134">
        <v>18633</v>
      </c>
      <c r="D26" s="134">
        <v>17228</v>
      </c>
    </row>
    <row r="27" spans="2:4" ht="12" hidden="1" customHeight="1" x14ac:dyDescent="0.2">
      <c r="B27" s="103" t="s">
        <v>27</v>
      </c>
      <c r="C27" s="134">
        <v>93239</v>
      </c>
      <c r="D27" s="134">
        <v>93239</v>
      </c>
    </row>
    <row r="28" spans="2:4" ht="12" customHeight="1" thickBot="1" x14ac:dyDescent="0.25">
      <c r="B28" s="103" t="s">
        <v>141</v>
      </c>
      <c r="C28" s="134">
        <v>-43723</v>
      </c>
      <c r="D28" s="134">
        <v>-22238</v>
      </c>
    </row>
    <row r="29" spans="2:4" ht="12" customHeight="1" thickBot="1" x14ac:dyDescent="0.25">
      <c r="B29" s="99" t="s">
        <v>198</v>
      </c>
      <c r="C29" s="113">
        <v>81533</v>
      </c>
      <c r="D29" s="113">
        <v>119038</v>
      </c>
    </row>
    <row r="30" spans="2:4" ht="12" customHeight="1" thickBot="1" x14ac:dyDescent="0.25">
      <c r="B30" s="104"/>
      <c r="C30" s="135"/>
      <c r="D30" s="135"/>
    </row>
    <row r="31" spans="2:4" ht="12" customHeight="1" thickBot="1" x14ac:dyDescent="0.25">
      <c r="B31" s="99" t="s">
        <v>28</v>
      </c>
      <c r="C31" s="100">
        <v>2014</v>
      </c>
      <c r="D31" s="100">
        <v>2013</v>
      </c>
    </row>
    <row r="32" spans="2:4" ht="12" customHeight="1" thickBot="1" x14ac:dyDescent="0.25">
      <c r="B32" s="101" t="s">
        <v>199</v>
      </c>
      <c r="C32" s="112">
        <f>SUM(C33:C41)</f>
        <v>96431</v>
      </c>
      <c r="D32" s="112">
        <f>SUM(D33:D41)</f>
        <v>60191</v>
      </c>
    </row>
    <row r="33" spans="2:4" ht="12" customHeight="1" x14ac:dyDescent="0.2">
      <c r="B33" s="103" t="s">
        <v>200</v>
      </c>
      <c r="C33" s="134">
        <v>13916</v>
      </c>
      <c r="D33" s="134">
        <v>308</v>
      </c>
    </row>
    <row r="34" spans="2:4" ht="12" customHeight="1" x14ac:dyDescent="0.2">
      <c r="B34" s="103" t="s">
        <v>37</v>
      </c>
      <c r="C34" s="134">
        <v>7302</v>
      </c>
      <c r="D34" s="134">
        <v>487</v>
      </c>
    </row>
    <row r="35" spans="2:4" ht="12" customHeight="1" x14ac:dyDescent="0.2">
      <c r="B35" s="103" t="s">
        <v>59</v>
      </c>
      <c r="C35" s="134">
        <v>4509</v>
      </c>
      <c r="D35" s="134">
        <v>5744</v>
      </c>
    </row>
    <row r="36" spans="2:4" ht="12" customHeight="1" x14ac:dyDescent="0.2">
      <c r="B36" s="103" t="s">
        <v>77</v>
      </c>
      <c r="C36" s="134">
        <v>24744</v>
      </c>
      <c r="D36" s="134">
        <v>11085</v>
      </c>
    </row>
    <row r="37" spans="2:4" ht="12" customHeight="1" x14ac:dyDescent="0.2">
      <c r="B37" s="103" t="s">
        <v>60</v>
      </c>
      <c r="C37" s="134">
        <v>33971</v>
      </c>
      <c r="D37" s="134">
        <v>31291</v>
      </c>
    </row>
    <row r="38" spans="2:4" ht="12" customHeight="1" x14ac:dyDescent="0.2">
      <c r="B38" s="106" t="s">
        <v>114</v>
      </c>
      <c r="C38" s="136"/>
      <c r="D38" s="133"/>
    </row>
    <row r="39" spans="2:4" ht="12" customHeight="1" x14ac:dyDescent="0.2">
      <c r="B39" s="107" t="s">
        <v>115</v>
      </c>
      <c r="C39" s="132">
        <v>6501</v>
      </c>
      <c r="D39" s="134">
        <v>11276</v>
      </c>
    </row>
    <row r="40" spans="2:4" ht="12" customHeight="1" x14ac:dyDescent="0.2">
      <c r="B40" s="106" t="s">
        <v>116</v>
      </c>
      <c r="C40" s="132"/>
      <c r="D40" s="134"/>
    </row>
    <row r="41" spans="2:4" ht="12" customHeight="1" thickBot="1" x14ac:dyDescent="0.25">
      <c r="B41" s="107" t="s">
        <v>201</v>
      </c>
      <c r="C41" s="132">
        <v>5488</v>
      </c>
      <c r="D41" s="134">
        <v>0</v>
      </c>
    </row>
    <row r="42" spans="2:4" ht="12" customHeight="1" thickBot="1" x14ac:dyDescent="0.25">
      <c r="B42" s="99" t="s">
        <v>29</v>
      </c>
      <c r="C42" s="113">
        <f>SUM(C43:C44)</f>
        <v>14177</v>
      </c>
      <c r="D42" s="113">
        <f>SUM(D43:D44)</f>
        <v>0</v>
      </c>
    </row>
    <row r="43" spans="2:4" ht="12" customHeight="1" x14ac:dyDescent="0.2">
      <c r="B43" s="106" t="s">
        <v>202</v>
      </c>
      <c r="C43" s="132"/>
      <c r="D43" s="134"/>
    </row>
    <row r="44" spans="2:4" ht="12" customHeight="1" thickBot="1" x14ac:dyDescent="0.25">
      <c r="B44" s="107" t="s">
        <v>201</v>
      </c>
      <c r="C44" s="132">
        <v>14177</v>
      </c>
      <c r="D44" s="134">
        <v>0</v>
      </c>
    </row>
    <row r="45" spans="2:4" ht="12" customHeight="1" thickBot="1" x14ac:dyDescent="0.25">
      <c r="B45" s="99" t="s">
        <v>117</v>
      </c>
      <c r="C45" s="113">
        <f>SUM(C46)</f>
        <v>-29075</v>
      </c>
      <c r="D45" s="113">
        <f>SUM(D46)</f>
        <v>58847</v>
      </c>
    </row>
    <row r="46" spans="2:4" ht="12" customHeight="1" thickBot="1" x14ac:dyDescent="0.25">
      <c r="B46" s="103" t="s">
        <v>203</v>
      </c>
      <c r="C46" s="134">
        <v>-29075</v>
      </c>
      <c r="D46" s="134">
        <v>58847</v>
      </c>
    </row>
    <row r="47" spans="2:4" ht="12" customHeight="1" thickBot="1" x14ac:dyDescent="0.25">
      <c r="B47" s="99" t="s">
        <v>204</v>
      </c>
      <c r="C47" s="113">
        <f>SUM(C32,C42,C45)</f>
        <v>81533</v>
      </c>
      <c r="D47" s="113">
        <f>SUM(D32,D42,D45)</f>
        <v>119038</v>
      </c>
    </row>
    <row r="48" spans="2:4" ht="12" customHeight="1" x14ac:dyDescent="0.2">
      <c r="B48" s="108"/>
      <c r="C48" s="108"/>
      <c r="D48" s="108"/>
    </row>
    <row r="49" spans="2:9" ht="12" customHeight="1" x14ac:dyDescent="0.2">
      <c r="B49" s="144" t="s">
        <v>105</v>
      </c>
      <c r="C49" s="144"/>
      <c r="D49" s="144"/>
    </row>
    <row r="50" spans="2:9" ht="12" customHeight="1" x14ac:dyDescent="0.2">
      <c r="B50" s="110"/>
      <c r="C50" s="110"/>
      <c r="D50" s="110"/>
    </row>
    <row r="51" spans="2:9" ht="12" customHeight="1" x14ac:dyDescent="0.2">
      <c r="B51" s="110"/>
      <c r="C51" s="110"/>
      <c r="D51" s="110"/>
    </row>
    <row r="52" spans="2:9" ht="12" customHeight="1" x14ac:dyDescent="0.2">
      <c r="B52" s="109"/>
      <c r="C52" s="109"/>
      <c r="D52" s="109"/>
    </row>
    <row r="53" spans="2:9" ht="12" customHeight="1" x14ac:dyDescent="0.2">
      <c r="B53" s="111" t="s">
        <v>72</v>
      </c>
      <c r="C53" s="142" t="s">
        <v>73</v>
      </c>
      <c r="D53" s="142"/>
      <c r="I53" s="4"/>
    </row>
    <row r="54" spans="2:9" ht="12" customHeight="1" x14ac:dyDescent="0.2">
      <c r="B54" s="111" t="s">
        <v>4</v>
      </c>
      <c r="C54" s="142" t="s">
        <v>74</v>
      </c>
      <c r="D54" s="142"/>
      <c r="I54" s="4"/>
    </row>
    <row r="55" spans="2:9" ht="12" customHeight="1" x14ac:dyDescent="0.2">
      <c r="B55" s="111" t="s">
        <v>63</v>
      </c>
      <c r="C55" s="142" t="s">
        <v>75</v>
      </c>
      <c r="D55" s="142"/>
      <c r="I55" s="4"/>
    </row>
    <row r="56" spans="2:9" ht="12" customHeight="1" x14ac:dyDescent="0.2">
      <c r="B56" s="11"/>
      <c r="C56" s="11"/>
      <c r="D56" s="11"/>
      <c r="I56" s="4"/>
    </row>
    <row r="57" spans="2:9" ht="12" customHeight="1" x14ac:dyDescent="0.2">
      <c r="B57" s="12"/>
      <c r="C57" s="12"/>
      <c r="D57" s="12"/>
    </row>
    <row r="58" spans="2:9" ht="12" customHeight="1" x14ac:dyDescent="0.2">
      <c r="B58" s="4"/>
      <c r="C58" s="13"/>
      <c r="D58" s="4"/>
    </row>
    <row r="59" spans="2:9" ht="12" customHeight="1" x14ac:dyDescent="0.2">
      <c r="B59" s="4"/>
      <c r="C59" s="13"/>
      <c r="D59" s="4"/>
    </row>
  </sheetData>
  <mergeCells count="8">
    <mergeCell ref="C54:D54"/>
    <mergeCell ref="C55:D55"/>
    <mergeCell ref="B2:D2"/>
    <mergeCell ref="B3:D3"/>
    <mergeCell ref="B5:D5"/>
    <mergeCell ref="B7:D7"/>
    <mergeCell ref="B49:D49"/>
    <mergeCell ref="C53:D53"/>
  </mergeCells>
  <phoneticPr fontId="2" type="noConversion"/>
  <printOptions horizontalCentered="1"/>
  <pageMargins left="0.59055118110236227" right="0.59055118110236227" top="1.7716535433070868" bottom="0.6692913385826772" header="0.51181102362204722" footer="0.51181102362204722"/>
  <pageSetup paperSize="9" orientation="portrait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8"/>
  <sheetViews>
    <sheetView zoomScaleNormal="100" workbookViewId="0">
      <selection activeCell="J26" sqref="A26:J26"/>
    </sheetView>
  </sheetViews>
  <sheetFormatPr defaultRowHeight="11.25" x14ac:dyDescent="0.2"/>
  <cols>
    <col min="1" max="1" width="3.7109375" style="1" customWidth="1"/>
    <col min="2" max="2" width="47.85546875" style="1" customWidth="1"/>
    <col min="3" max="4" width="13.140625" style="28" bestFit="1" customWidth="1"/>
    <col min="5" max="5" width="15.5703125" style="1" hidden="1" customWidth="1"/>
    <col min="6" max="16384" width="9.140625" style="1"/>
  </cols>
  <sheetData>
    <row r="1" spans="2:6" x14ac:dyDescent="0.2">
      <c r="B1" s="22"/>
      <c r="C1" s="24"/>
      <c r="D1" s="24"/>
      <c r="E1" s="22"/>
    </row>
    <row r="2" spans="2:6" x14ac:dyDescent="0.2">
      <c r="B2" s="143" t="s">
        <v>61</v>
      </c>
      <c r="C2" s="143"/>
      <c r="D2" s="143"/>
      <c r="E2" s="15"/>
      <c r="F2" s="5"/>
    </row>
    <row r="3" spans="2:6" x14ac:dyDescent="0.2">
      <c r="B3" s="143" t="s">
        <v>104</v>
      </c>
      <c r="C3" s="143"/>
      <c r="D3" s="143"/>
      <c r="E3" s="15"/>
      <c r="F3" s="5"/>
    </row>
    <row r="4" spans="2:6" x14ac:dyDescent="0.2">
      <c r="B4" s="98"/>
      <c r="C4" s="98"/>
      <c r="D4" s="98"/>
      <c r="E4" s="15"/>
      <c r="F4" s="5"/>
    </row>
    <row r="5" spans="2:6" x14ac:dyDescent="0.2">
      <c r="B5" s="143" t="s">
        <v>119</v>
      </c>
      <c r="C5" s="143"/>
      <c r="D5" s="143"/>
      <c r="E5" s="15"/>
      <c r="F5" s="5"/>
    </row>
    <row r="6" spans="2:6" x14ac:dyDescent="0.2">
      <c r="B6" s="97"/>
      <c r="C6" s="97"/>
      <c r="D6" s="97"/>
      <c r="E6" s="16"/>
      <c r="F6" s="5"/>
    </row>
    <row r="7" spans="2:6" x14ac:dyDescent="0.2">
      <c r="B7" s="143" t="s">
        <v>0</v>
      </c>
      <c r="C7" s="143"/>
      <c r="D7" s="143"/>
      <c r="E7" s="15"/>
      <c r="F7" s="5"/>
    </row>
    <row r="8" spans="2:6" x14ac:dyDescent="0.2">
      <c r="B8" s="98"/>
      <c r="C8" s="98"/>
      <c r="D8" s="98"/>
      <c r="E8" s="15"/>
      <c r="F8" s="5"/>
    </row>
    <row r="9" spans="2:6" ht="12" thickBot="1" x14ac:dyDescent="0.25">
      <c r="B9" s="114"/>
      <c r="C9" s="114"/>
      <c r="D9" s="114"/>
      <c r="E9" s="15"/>
      <c r="F9" s="5"/>
    </row>
    <row r="10" spans="2:6" ht="12" thickBot="1" x14ac:dyDescent="0.25">
      <c r="B10" s="115"/>
      <c r="C10" s="105">
        <v>2014</v>
      </c>
      <c r="D10" s="105">
        <v>2013</v>
      </c>
      <c r="E10" s="14">
        <v>2010</v>
      </c>
    </row>
    <row r="11" spans="2:6" ht="12" thickBot="1" x14ac:dyDescent="0.25">
      <c r="B11" s="101" t="s">
        <v>38</v>
      </c>
      <c r="C11" s="137">
        <f>SUM(C12)</f>
        <v>633785</v>
      </c>
      <c r="D11" s="137">
        <f>SUM(D12)</f>
        <v>634688</v>
      </c>
      <c r="E11" s="17" t="e">
        <f>E12+#REF!+#REF!</f>
        <v>#REF!</v>
      </c>
    </row>
    <row r="12" spans="2:6" x14ac:dyDescent="0.2">
      <c r="B12" s="102" t="s">
        <v>205</v>
      </c>
      <c r="C12" s="138">
        <f>SUM(C13,C16)</f>
        <v>633785</v>
      </c>
      <c r="D12" s="138">
        <f>SUM(D13,D16)</f>
        <v>634688</v>
      </c>
      <c r="E12" s="21">
        <f>SUM(E14:E22)</f>
        <v>789678.4</v>
      </c>
    </row>
    <row r="13" spans="2:6" x14ac:dyDescent="0.2">
      <c r="B13" s="116" t="s">
        <v>206</v>
      </c>
      <c r="C13" s="133">
        <f>SUM(C14:C15)</f>
        <v>321491</v>
      </c>
      <c r="D13" s="133">
        <f>SUM(D14:D15)</f>
        <v>301843</v>
      </c>
      <c r="E13" s="18"/>
    </row>
    <row r="14" spans="2:6" ht="11.25" customHeight="1" x14ac:dyDescent="0.2">
      <c r="B14" s="103" t="s">
        <v>51</v>
      </c>
      <c r="C14" s="134">
        <v>302891</v>
      </c>
      <c r="D14" s="134">
        <v>291743</v>
      </c>
      <c r="E14" s="19">
        <v>168000</v>
      </c>
    </row>
    <row r="15" spans="2:6" ht="11.25" customHeight="1" x14ac:dyDescent="0.2">
      <c r="B15" s="103" t="s">
        <v>118</v>
      </c>
      <c r="C15" s="134">
        <v>18600</v>
      </c>
      <c r="D15" s="134">
        <v>10100</v>
      </c>
      <c r="E15" s="19"/>
    </row>
    <row r="16" spans="2:6" ht="11.25" customHeight="1" x14ac:dyDescent="0.2">
      <c r="B16" s="116" t="s">
        <v>207</v>
      </c>
      <c r="C16" s="133">
        <f>SUM(C17:C22)</f>
        <v>312294</v>
      </c>
      <c r="D16" s="133">
        <f>SUM(D17:D22)</f>
        <v>332845</v>
      </c>
      <c r="E16" s="19"/>
    </row>
    <row r="17" spans="2:5" ht="11.25" customHeight="1" x14ac:dyDescent="0.2">
      <c r="B17" s="103" t="s">
        <v>52</v>
      </c>
      <c r="C17" s="134">
        <v>196297</v>
      </c>
      <c r="D17" s="134">
        <v>169899</v>
      </c>
      <c r="E17" s="19">
        <f>20050.25+17991.25</f>
        <v>38041.5</v>
      </c>
    </row>
    <row r="18" spans="2:5" ht="11.25" customHeight="1" x14ac:dyDescent="0.2">
      <c r="B18" s="103" t="s">
        <v>65</v>
      </c>
      <c r="C18" s="134" t="s">
        <v>208</v>
      </c>
      <c r="D18" s="134" t="s">
        <v>208</v>
      </c>
      <c r="E18" s="19"/>
    </row>
    <row r="19" spans="2:5" x14ac:dyDescent="0.2">
      <c r="B19" s="103" t="s">
        <v>30</v>
      </c>
      <c r="C19" s="134">
        <v>38857</v>
      </c>
      <c r="D19" s="134">
        <v>29935</v>
      </c>
      <c r="E19" s="19">
        <v>559127.4</v>
      </c>
    </row>
    <row r="20" spans="2:5" x14ac:dyDescent="0.2">
      <c r="B20" s="103" t="s">
        <v>209</v>
      </c>
      <c r="C20" s="134">
        <v>76004</v>
      </c>
      <c r="D20" s="134">
        <v>131115</v>
      </c>
      <c r="E20" s="19"/>
    </row>
    <row r="21" spans="2:5" x14ac:dyDescent="0.2">
      <c r="B21" s="103" t="s">
        <v>31</v>
      </c>
      <c r="C21" s="134">
        <v>1136</v>
      </c>
      <c r="D21" s="134">
        <v>1896</v>
      </c>
      <c r="E21" s="19">
        <v>24509.5</v>
      </c>
    </row>
    <row r="22" spans="2:5" ht="12" thickBot="1" x14ac:dyDescent="0.25">
      <c r="B22" s="117" t="s">
        <v>64</v>
      </c>
      <c r="C22" s="139">
        <v>0</v>
      </c>
      <c r="D22" s="139" t="s">
        <v>208</v>
      </c>
      <c r="E22" s="19"/>
    </row>
    <row r="23" spans="2:5" ht="12" thickBot="1" x14ac:dyDescent="0.25">
      <c r="B23" s="101" t="s">
        <v>32</v>
      </c>
      <c r="C23" s="137">
        <f>SUM(C25,C32)</f>
        <v>694268</v>
      </c>
      <c r="D23" s="137">
        <f>SUM(D25,D32)</f>
        <v>600434</v>
      </c>
      <c r="E23" s="17" t="e">
        <f>E24+#REF!+#REF!</f>
        <v>#REF!</v>
      </c>
    </row>
    <row r="24" spans="2:5" ht="12" thickBot="1" x14ac:dyDescent="0.25">
      <c r="B24" s="118" t="s">
        <v>41</v>
      </c>
      <c r="C24" s="139"/>
      <c r="D24" s="139"/>
      <c r="E24" s="19"/>
    </row>
    <row r="25" spans="2:5" x14ac:dyDescent="0.2">
      <c r="B25" s="119" t="s">
        <v>210</v>
      </c>
      <c r="C25" s="140">
        <f>SUM(C26:C29)</f>
        <v>391669</v>
      </c>
      <c r="D25" s="140">
        <f>SUM(D26:D29)</f>
        <v>361391</v>
      </c>
      <c r="E25" s="20">
        <f>SUM(E26:E38)</f>
        <v>486082.34</v>
      </c>
    </row>
    <row r="26" spans="2:5" x14ac:dyDescent="0.2">
      <c r="B26" s="103" t="s">
        <v>211</v>
      </c>
      <c r="C26" s="134">
        <v>293288</v>
      </c>
      <c r="D26" s="134">
        <v>257993</v>
      </c>
      <c r="E26" s="19"/>
    </row>
    <row r="27" spans="2:5" x14ac:dyDescent="0.2">
      <c r="B27" s="103" t="s">
        <v>33</v>
      </c>
      <c r="C27" s="134" t="s">
        <v>208</v>
      </c>
      <c r="D27" s="134" t="s">
        <v>208</v>
      </c>
      <c r="E27" s="19"/>
    </row>
    <row r="28" spans="2:5" x14ac:dyDescent="0.2">
      <c r="B28" s="103" t="s">
        <v>40</v>
      </c>
      <c r="C28" s="134">
        <v>34359</v>
      </c>
      <c r="D28" s="134">
        <v>51965</v>
      </c>
      <c r="E28" s="19"/>
    </row>
    <row r="29" spans="2:5" ht="12" thickBot="1" x14ac:dyDescent="0.25">
      <c r="B29" s="117" t="s">
        <v>34</v>
      </c>
      <c r="C29" s="139">
        <v>64022</v>
      </c>
      <c r="D29" s="139">
        <v>51433</v>
      </c>
      <c r="E29" s="19"/>
    </row>
    <row r="30" spans="2:5" ht="12" thickBot="1" x14ac:dyDescent="0.25">
      <c r="B30" s="101" t="s">
        <v>39</v>
      </c>
      <c r="C30" s="137">
        <f>C11-C25</f>
        <v>242116</v>
      </c>
      <c r="D30" s="137">
        <f>D11-D25</f>
        <v>273297</v>
      </c>
      <c r="E30" s="19"/>
    </row>
    <row r="31" spans="2:5" ht="12" thickBot="1" x14ac:dyDescent="0.25">
      <c r="B31" s="118" t="s">
        <v>42</v>
      </c>
      <c r="C31" s="139"/>
      <c r="D31" s="139"/>
      <c r="E31" s="19"/>
    </row>
    <row r="32" spans="2:5" x14ac:dyDescent="0.2">
      <c r="B32" s="119" t="s">
        <v>210</v>
      </c>
      <c r="C32" s="140">
        <f>SUM(C33:C38)</f>
        <v>302599</v>
      </c>
      <c r="D32" s="140">
        <f>SUM(D33:D38)</f>
        <v>239043</v>
      </c>
      <c r="E32" s="19"/>
    </row>
    <row r="33" spans="2:5" x14ac:dyDescent="0.2">
      <c r="B33" s="103" t="s">
        <v>211</v>
      </c>
      <c r="C33" s="134">
        <v>153505</v>
      </c>
      <c r="D33" s="134">
        <v>125384</v>
      </c>
      <c r="E33" s="19"/>
    </row>
    <row r="34" spans="2:5" x14ac:dyDescent="0.2">
      <c r="B34" s="103" t="s">
        <v>212</v>
      </c>
      <c r="C34" s="134">
        <v>10555</v>
      </c>
      <c r="D34" s="134">
        <v>23441</v>
      </c>
      <c r="E34" s="19"/>
    </row>
    <row r="35" spans="2:5" x14ac:dyDescent="0.2">
      <c r="B35" s="103" t="s">
        <v>43</v>
      </c>
      <c r="C35" s="134">
        <v>4914</v>
      </c>
      <c r="D35" s="134">
        <v>5401</v>
      </c>
      <c r="E35" s="19"/>
    </row>
    <row r="36" spans="2:5" x14ac:dyDescent="0.2">
      <c r="B36" s="103" t="s">
        <v>34</v>
      </c>
      <c r="C36" s="134">
        <v>114219</v>
      </c>
      <c r="D36" s="134">
        <v>79580</v>
      </c>
      <c r="E36" s="19"/>
    </row>
    <row r="37" spans="2:5" x14ac:dyDescent="0.2">
      <c r="B37" s="103" t="s">
        <v>35</v>
      </c>
      <c r="C37" s="134">
        <v>12910</v>
      </c>
      <c r="D37" s="134">
        <v>1850</v>
      </c>
      <c r="E37" s="19">
        <v>8222.7000000000007</v>
      </c>
    </row>
    <row r="38" spans="2:5" ht="12" thickBot="1" x14ac:dyDescent="0.25">
      <c r="B38" s="117" t="s">
        <v>213</v>
      </c>
      <c r="C38" s="139">
        <v>6496</v>
      </c>
      <c r="D38" s="139">
        <v>3387</v>
      </c>
      <c r="E38" s="19">
        <f>24403.52+453456.12</f>
        <v>477859.64</v>
      </c>
    </row>
    <row r="39" spans="2:5" ht="12" thickBot="1" x14ac:dyDescent="0.25">
      <c r="B39" s="101" t="s">
        <v>214</v>
      </c>
      <c r="C39" s="137">
        <f>C11-C23</f>
        <v>-60483</v>
      </c>
      <c r="D39" s="137">
        <f>D11-D23</f>
        <v>34254</v>
      </c>
      <c r="E39" s="17" t="e">
        <f>E11-E23+#REF!</f>
        <v>#REF!</v>
      </c>
    </row>
    <row r="40" spans="2:5" x14ac:dyDescent="0.2">
      <c r="B40" s="108"/>
      <c r="C40" s="108"/>
      <c r="D40" s="108"/>
      <c r="E40" s="10"/>
    </row>
    <row r="41" spans="2:5" x14ac:dyDescent="0.2">
      <c r="B41" s="144" t="s">
        <v>105</v>
      </c>
      <c r="C41" s="144"/>
      <c r="D41" s="144"/>
      <c r="E41" s="11"/>
    </row>
    <row r="42" spans="2:5" x14ac:dyDescent="0.2">
      <c r="B42" s="109"/>
      <c r="C42" s="109"/>
      <c r="D42" s="109"/>
      <c r="E42" s="10"/>
    </row>
    <row r="43" spans="2:5" x14ac:dyDescent="0.2">
      <c r="B43" s="109"/>
      <c r="C43" s="109"/>
      <c r="D43" s="109"/>
      <c r="E43" s="10"/>
    </row>
    <row r="44" spans="2:5" x14ac:dyDescent="0.2">
      <c r="B44" s="109"/>
      <c r="C44" s="109"/>
      <c r="D44" s="109"/>
      <c r="E44" s="10"/>
    </row>
    <row r="45" spans="2:5" x14ac:dyDescent="0.2">
      <c r="B45" s="111" t="s">
        <v>72</v>
      </c>
      <c r="C45" s="142" t="s">
        <v>73</v>
      </c>
      <c r="D45" s="142"/>
      <c r="E45" s="4"/>
    </row>
    <row r="46" spans="2:5" x14ac:dyDescent="0.2">
      <c r="B46" s="111" t="s">
        <v>4</v>
      </c>
      <c r="C46" s="142" t="s">
        <v>74</v>
      </c>
      <c r="D46" s="142"/>
      <c r="E46" s="4"/>
    </row>
    <row r="47" spans="2:5" x14ac:dyDescent="0.2">
      <c r="B47" s="111" t="s">
        <v>63</v>
      </c>
      <c r="C47" s="142" t="s">
        <v>75</v>
      </c>
      <c r="D47" s="142"/>
      <c r="E47" s="10"/>
    </row>
    <row r="48" spans="2:5" x14ac:dyDescent="0.2">
      <c r="B48" s="10"/>
      <c r="C48" s="27"/>
      <c r="D48" s="27"/>
      <c r="E48" s="10"/>
    </row>
  </sheetData>
  <mergeCells count="8">
    <mergeCell ref="C46:D46"/>
    <mergeCell ref="C47:D47"/>
    <mergeCell ref="B2:D2"/>
    <mergeCell ref="B3:D3"/>
    <mergeCell ref="B5:D5"/>
    <mergeCell ref="B7:D7"/>
    <mergeCell ref="B41:D41"/>
    <mergeCell ref="C45:D45"/>
  </mergeCells>
  <phoneticPr fontId="2" type="noConversion"/>
  <printOptions horizontalCentered="1"/>
  <pageMargins left="0.59055118110236227" right="0.62992125984251968" top="1.7716535433070868" bottom="0.6796875" header="0.51181102362204722" footer="0.515625"/>
  <pageSetup paperSize="9" orientation="portrait" r:id="rId1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2"/>
  <sheetViews>
    <sheetView showWhiteSpace="0" zoomScaleNormal="100" zoomScaleSheetLayoutView="100" workbookViewId="0">
      <selection activeCell="F19" sqref="F19"/>
    </sheetView>
  </sheetViews>
  <sheetFormatPr defaultRowHeight="11.25" x14ac:dyDescent="0.2"/>
  <cols>
    <col min="1" max="1" width="3.7109375" style="1" customWidth="1"/>
    <col min="2" max="2" width="45.5703125" style="1" customWidth="1"/>
    <col min="3" max="3" width="12" style="1" customWidth="1"/>
    <col min="4" max="4" width="17.5703125" style="1" customWidth="1"/>
    <col min="5" max="5" width="13.7109375" style="1" customWidth="1"/>
    <col min="6" max="16384" width="9.140625" style="1"/>
  </cols>
  <sheetData>
    <row r="1" spans="2:6" x14ac:dyDescent="0.2">
      <c r="B1" s="145"/>
      <c r="C1" s="145"/>
      <c r="D1" s="145"/>
      <c r="E1" s="145"/>
    </row>
    <row r="2" spans="2:6" x14ac:dyDescent="0.2">
      <c r="B2" s="143" t="s">
        <v>61</v>
      </c>
      <c r="C2" s="143"/>
      <c r="D2" s="143"/>
      <c r="E2" s="143"/>
      <c r="F2" s="25"/>
    </row>
    <row r="3" spans="2:6" ht="11.25" customHeight="1" x14ac:dyDescent="0.2">
      <c r="B3" s="143" t="s">
        <v>104</v>
      </c>
      <c r="C3" s="143"/>
      <c r="D3" s="143"/>
      <c r="E3" s="143"/>
      <c r="F3" s="25"/>
    </row>
    <row r="4" spans="2:6" x14ac:dyDescent="0.2">
      <c r="B4" s="98"/>
      <c r="C4" s="98"/>
      <c r="D4" s="98"/>
      <c r="E4" s="98"/>
      <c r="F4" s="5"/>
    </row>
    <row r="5" spans="2:6" ht="11.25" customHeight="1" x14ac:dyDescent="0.2">
      <c r="B5" s="143" t="s">
        <v>140</v>
      </c>
      <c r="C5" s="143"/>
      <c r="D5" s="143"/>
      <c r="E5" s="143"/>
      <c r="F5" s="5"/>
    </row>
    <row r="6" spans="2:6" x14ac:dyDescent="0.2">
      <c r="B6" s="97"/>
      <c r="C6" s="97"/>
      <c r="D6" s="97"/>
      <c r="E6" s="97"/>
      <c r="F6" s="5"/>
    </row>
    <row r="7" spans="2:6" ht="11.25" customHeight="1" x14ac:dyDescent="0.2">
      <c r="B7" s="143" t="s">
        <v>0</v>
      </c>
      <c r="C7" s="143"/>
      <c r="D7" s="143"/>
      <c r="E7" s="143"/>
      <c r="F7" s="5"/>
    </row>
    <row r="8" spans="2:6" ht="12" thickBot="1" x14ac:dyDescent="0.25">
      <c r="B8" s="98"/>
      <c r="C8" s="98"/>
      <c r="D8" s="98"/>
      <c r="E8" s="98"/>
      <c r="F8" s="5"/>
    </row>
    <row r="9" spans="2:6" ht="21.75" thickBot="1" x14ac:dyDescent="0.25">
      <c r="B9" s="122" t="s">
        <v>1</v>
      </c>
      <c r="C9" s="99" t="s">
        <v>45</v>
      </c>
      <c r="D9" s="99" t="s">
        <v>2</v>
      </c>
      <c r="E9" s="99" t="s">
        <v>3</v>
      </c>
    </row>
    <row r="10" spans="2:6" ht="12" thickBot="1" x14ac:dyDescent="0.25">
      <c r="B10" s="122" t="s">
        <v>44</v>
      </c>
      <c r="C10" s="130">
        <v>-2846</v>
      </c>
      <c r="D10" s="130" t="s">
        <v>215</v>
      </c>
      <c r="E10" s="130">
        <v>-2846</v>
      </c>
    </row>
    <row r="11" spans="2:6" x14ac:dyDescent="0.2">
      <c r="B11" s="123" t="s">
        <v>69</v>
      </c>
      <c r="C11" s="131">
        <v>27439</v>
      </c>
      <c r="D11" s="131">
        <v>0</v>
      </c>
      <c r="E11" s="131">
        <f>SUM(C11:D11)</f>
        <v>27439</v>
      </c>
    </row>
    <row r="12" spans="2:6" x14ac:dyDescent="0.2">
      <c r="B12" s="103" t="s">
        <v>81</v>
      </c>
      <c r="C12" s="132">
        <v>0</v>
      </c>
      <c r="D12" s="132">
        <v>34254</v>
      </c>
      <c r="E12" s="132">
        <f t="shared" ref="E12:E13" si="0">SUM(C12:D12)</f>
        <v>34254</v>
      </c>
    </row>
    <row r="13" spans="2:6" ht="12" thickBot="1" x14ac:dyDescent="0.25">
      <c r="B13" s="103" t="s">
        <v>70</v>
      </c>
      <c r="C13" s="132">
        <v>34254</v>
      </c>
      <c r="D13" s="132">
        <v>-34254</v>
      </c>
      <c r="E13" s="132">
        <f t="shared" si="0"/>
        <v>0</v>
      </c>
    </row>
    <row r="14" spans="2:6" ht="12" thickBot="1" x14ac:dyDescent="0.25">
      <c r="B14" s="122" t="s">
        <v>76</v>
      </c>
      <c r="C14" s="130">
        <f>SUM(C10:C13)</f>
        <v>58847</v>
      </c>
      <c r="D14" s="130">
        <f>SUM(D10:D13)</f>
        <v>0</v>
      </c>
      <c r="E14" s="130">
        <f>SUM(E10:E13)</f>
        <v>58847</v>
      </c>
    </row>
    <row r="15" spans="2:6" x14ac:dyDescent="0.2">
      <c r="B15" s="103" t="s">
        <v>80</v>
      </c>
      <c r="C15" s="132">
        <v>-27439</v>
      </c>
      <c r="D15" s="132">
        <v>0</v>
      </c>
      <c r="E15" s="131">
        <f>SUM(C15:D15)</f>
        <v>-27439</v>
      </c>
    </row>
    <row r="16" spans="2:6" x14ac:dyDescent="0.2">
      <c r="B16" s="103" t="s">
        <v>134</v>
      </c>
      <c r="C16" s="132"/>
      <c r="D16" s="132">
        <v>-60483</v>
      </c>
      <c r="E16" s="132">
        <f t="shared" ref="E16:E17" si="1">SUM(C16:D16)</f>
        <v>-60483</v>
      </c>
    </row>
    <row r="17" spans="2:5" ht="12" thickBot="1" x14ac:dyDescent="0.25">
      <c r="B17" s="103" t="s">
        <v>135</v>
      </c>
      <c r="C17" s="132">
        <v>-60483</v>
      </c>
      <c r="D17" s="132">
        <v>60483</v>
      </c>
      <c r="E17" s="132">
        <f t="shared" si="1"/>
        <v>0</v>
      </c>
    </row>
    <row r="18" spans="2:5" ht="12" thickBot="1" x14ac:dyDescent="0.25">
      <c r="B18" s="122" t="s">
        <v>106</v>
      </c>
      <c r="C18" s="130">
        <f>SUM(C14:C17)</f>
        <v>-29075</v>
      </c>
      <c r="D18" s="130">
        <f t="shared" ref="D18:E18" si="2">SUM(D14:D17)</f>
        <v>0</v>
      </c>
      <c r="E18" s="130">
        <f t="shared" si="2"/>
        <v>-29075</v>
      </c>
    </row>
    <row r="19" spans="2:5" x14ac:dyDescent="0.2">
      <c r="B19" s="98"/>
      <c r="C19" s="120"/>
      <c r="D19" s="120"/>
      <c r="E19" s="120"/>
    </row>
    <row r="20" spans="2:5" x14ac:dyDescent="0.2">
      <c r="B20" s="121"/>
      <c r="C20" s="121"/>
      <c r="D20" s="121"/>
      <c r="E20" s="121"/>
    </row>
    <row r="21" spans="2:5" x14ac:dyDescent="0.2">
      <c r="B21" s="144" t="s">
        <v>105</v>
      </c>
      <c r="C21" s="144"/>
      <c r="D21" s="144"/>
      <c r="E21" s="144"/>
    </row>
    <row r="22" spans="2:5" x14ac:dyDescent="0.2">
      <c r="B22" s="109"/>
      <c r="C22" s="109"/>
      <c r="D22" s="109"/>
      <c r="E22" s="109"/>
    </row>
    <row r="23" spans="2:5" x14ac:dyDescent="0.2">
      <c r="B23" s="109"/>
      <c r="C23" s="109"/>
      <c r="D23" s="109"/>
      <c r="E23" s="109"/>
    </row>
    <row r="24" spans="2:5" x14ac:dyDescent="0.2">
      <c r="B24" s="109"/>
      <c r="C24" s="109"/>
      <c r="D24" s="109"/>
      <c r="E24" s="109"/>
    </row>
    <row r="25" spans="2:5" x14ac:dyDescent="0.2">
      <c r="B25" s="111" t="s">
        <v>62</v>
      </c>
      <c r="C25" s="142" t="s">
        <v>73</v>
      </c>
      <c r="D25" s="142"/>
      <c r="E25" s="142"/>
    </row>
    <row r="26" spans="2:5" x14ac:dyDescent="0.2">
      <c r="B26" s="111" t="s">
        <v>4</v>
      </c>
      <c r="C26" s="142" t="s">
        <v>74</v>
      </c>
      <c r="D26" s="142"/>
      <c r="E26" s="142"/>
    </row>
    <row r="27" spans="2:5" x14ac:dyDescent="0.2">
      <c r="B27" s="111" t="s">
        <v>63</v>
      </c>
      <c r="C27" s="142" t="s">
        <v>75</v>
      </c>
      <c r="D27" s="142"/>
      <c r="E27" s="142"/>
    </row>
    <row r="32" spans="2:5" x14ac:dyDescent="0.2">
      <c r="B32" s="6"/>
    </row>
  </sheetData>
  <mergeCells count="9">
    <mergeCell ref="B21:E21"/>
    <mergeCell ref="C25:E25"/>
    <mergeCell ref="C26:E26"/>
    <mergeCell ref="C27:E27"/>
    <mergeCell ref="B1:E1"/>
    <mergeCell ref="B2:E2"/>
    <mergeCell ref="B3:E3"/>
    <mergeCell ref="B5:E5"/>
    <mergeCell ref="B7:E7"/>
  </mergeCells>
  <phoneticPr fontId="2" type="noConversion"/>
  <printOptions horizontalCentered="1"/>
  <pageMargins left="0.59055118110236227" right="0.62992125984251968" top="1.7716535433070868" bottom="0.6796875" header="0.51181102362204722" footer="0.515625"/>
  <pageSetup paperSize="9" orientation="portrait" r:id="rId1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2"/>
  <sheetViews>
    <sheetView zoomScaleNormal="100" workbookViewId="0">
      <selection activeCell="B6" sqref="B6"/>
    </sheetView>
  </sheetViews>
  <sheetFormatPr defaultRowHeight="12.75" x14ac:dyDescent="0.2"/>
  <cols>
    <col min="1" max="1" width="9.140625" style="9"/>
    <col min="2" max="2" width="55.28515625" style="9" customWidth="1"/>
    <col min="3" max="3" width="14.85546875" style="9" bestFit="1" customWidth="1"/>
    <col min="4" max="4" width="12.42578125" style="9" customWidth="1"/>
    <col min="5" max="5" width="14.5703125" style="9" customWidth="1"/>
    <col min="6" max="6" width="13.85546875" style="9" customWidth="1"/>
    <col min="7" max="7" width="9.28515625" style="9" bestFit="1" customWidth="1"/>
    <col min="8" max="16384" width="9.140625" style="9"/>
  </cols>
  <sheetData>
    <row r="2" spans="2:9" s="1" customFormat="1" ht="11.25" x14ac:dyDescent="0.2">
      <c r="B2" s="143" t="s">
        <v>61</v>
      </c>
      <c r="C2" s="143"/>
      <c r="D2" s="143"/>
      <c r="E2" s="15"/>
      <c r="F2" s="3"/>
      <c r="G2" s="3"/>
      <c r="H2" s="3"/>
      <c r="I2" s="3"/>
    </row>
    <row r="3" spans="2:9" s="1" customFormat="1" ht="11.25" x14ac:dyDescent="0.2">
      <c r="B3" s="143" t="s">
        <v>104</v>
      </c>
      <c r="C3" s="143"/>
      <c r="D3" s="143"/>
      <c r="E3" s="15"/>
      <c r="F3" s="3"/>
      <c r="G3" s="3"/>
      <c r="H3" s="3"/>
      <c r="I3" s="3"/>
    </row>
    <row r="4" spans="2:9" s="1" customFormat="1" ht="11.25" x14ac:dyDescent="0.2">
      <c r="B4" s="98"/>
      <c r="C4" s="98"/>
      <c r="D4" s="98"/>
      <c r="E4" s="15"/>
      <c r="F4" s="3"/>
      <c r="G4" s="3"/>
      <c r="H4" s="3"/>
      <c r="I4" s="3"/>
    </row>
    <row r="5" spans="2:9" s="1" customFormat="1" ht="11.25" x14ac:dyDescent="0.2">
      <c r="B5" s="143" t="s">
        <v>218</v>
      </c>
      <c r="C5" s="143"/>
      <c r="D5" s="143"/>
      <c r="E5" s="15"/>
      <c r="F5" s="3"/>
      <c r="G5" s="3"/>
      <c r="H5" s="3"/>
      <c r="I5" s="3"/>
    </row>
    <row r="6" spans="2:9" s="1" customFormat="1" ht="11.25" x14ac:dyDescent="0.2">
      <c r="B6" s="97"/>
      <c r="C6" s="97"/>
      <c r="D6" s="97"/>
      <c r="E6" s="16"/>
      <c r="F6" s="3"/>
      <c r="G6" s="3"/>
      <c r="H6" s="3"/>
      <c r="I6" s="3"/>
    </row>
    <row r="7" spans="2:9" s="1" customFormat="1" ht="11.25" x14ac:dyDescent="0.2">
      <c r="B7" s="146" t="s">
        <v>0</v>
      </c>
      <c r="C7" s="146"/>
      <c r="D7" s="146"/>
      <c r="E7" s="15"/>
      <c r="F7" s="3"/>
      <c r="G7" s="3"/>
      <c r="H7" s="3"/>
      <c r="I7" s="3"/>
    </row>
    <row r="8" spans="2:9" s="1" customFormat="1" ht="12" thickBot="1" x14ac:dyDescent="0.25">
      <c r="B8" s="129"/>
      <c r="C8" s="129"/>
      <c r="D8" s="129"/>
      <c r="E8" s="15"/>
      <c r="F8" s="3"/>
      <c r="G8" s="3"/>
      <c r="H8" s="3"/>
      <c r="I8" s="3"/>
    </row>
    <row r="9" spans="2:9" ht="13.5" thickBot="1" x14ac:dyDescent="0.25">
      <c r="B9" s="99" t="s">
        <v>36</v>
      </c>
      <c r="C9" s="99">
        <v>2014</v>
      </c>
      <c r="D9" s="99">
        <v>2013</v>
      </c>
      <c r="E9" s="15"/>
      <c r="F9" s="15"/>
    </row>
    <row r="10" spans="2:9" x14ac:dyDescent="0.2">
      <c r="B10" s="127" t="s">
        <v>6</v>
      </c>
      <c r="C10" s="131"/>
      <c r="D10" s="131"/>
      <c r="E10" s="23"/>
      <c r="F10" s="23"/>
    </row>
    <row r="11" spans="2:9" x14ac:dyDescent="0.2">
      <c r="B11" s="103" t="s">
        <v>123</v>
      </c>
      <c r="C11" s="132">
        <v>-60483</v>
      </c>
      <c r="D11" s="132">
        <v>34254</v>
      </c>
      <c r="E11" s="23"/>
      <c r="F11" s="23"/>
    </row>
    <row r="12" spans="2:9" x14ac:dyDescent="0.2">
      <c r="B12" s="103" t="s">
        <v>7</v>
      </c>
      <c r="C12" s="132">
        <v>21484</v>
      </c>
      <c r="D12" s="132">
        <v>8578</v>
      </c>
      <c r="E12" s="23"/>
      <c r="F12" s="23"/>
    </row>
    <row r="13" spans="2:9" x14ac:dyDescent="0.2">
      <c r="B13" s="103" t="s">
        <v>71</v>
      </c>
      <c r="C13" s="132" t="s">
        <v>216</v>
      </c>
      <c r="D13" s="132" t="s">
        <v>217</v>
      </c>
      <c r="E13" s="23"/>
      <c r="F13" s="23"/>
    </row>
    <row r="14" spans="2:9" x14ac:dyDescent="0.2">
      <c r="B14" s="103" t="s">
        <v>8</v>
      </c>
      <c r="C14" s="132" t="s">
        <v>216</v>
      </c>
      <c r="D14" s="132" t="s">
        <v>217</v>
      </c>
      <c r="E14" s="23"/>
      <c r="F14" s="23"/>
    </row>
    <row r="15" spans="2:9" ht="13.5" thickBot="1" x14ac:dyDescent="0.25">
      <c r="B15" s="118" t="s">
        <v>53</v>
      </c>
      <c r="C15" s="136">
        <f>SUM(C10:C14)</f>
        <v>-38999</v>
      </c>
      <c r="D15" s="136">
        <f>SUM(D10:D14)</f>
        <v>42832</v>
      </c>
      <c r="E15" s="23"/>
      <c r="F15" s="23"/>
    </row>
    <row r="16" spans="2:9" x14ac:dyDescent="0.2">
      <c r="B16" s="126" t="s">
        <v>78</v>
      </c>
      <c r="C16" s="136"/>
      <c r="D16" s="136"/>
      <c r="E16" s="23"/>
      <c r="F16" s="23"/>
    </row>
    <row r="17" spans="2:9" x14ac:dyDescent="0.2">
      <c r="B17" s="103" t="s">
        <v>120</v>
      </c>
      <c r="C17" s="132">
        <v>2193</v>
      </c>
      <c r="D17" s="132">
        <v>-2723</v>
      </c>
      <c r="E17" s="23"/>
      <c r="F17" s="23"/>
      <c r="H17" s="31"/>
      <c r="I17" s="34"/>
    </row>
    <row r="18" spans="2:9" x14ac:dyDescent="0.2">
      <c r="B18" s="103" t="s">
        <v>121</v>
      </c>
      <c r="C18" s="132">
        <v>-352</v>
      </c>
      <c r="D18" s="132">
        <v>-33</v>
      </c>
      <c r="E18" s="23"/>
      <c r="F18" s="23"/>
      <c r="H18" s="31"/>
    </row>
    <row r="19" spans="2:9" x14ac:dyDescent="0.2">
      <c r="B19" s="103" t="s">
        <v>122</v>
      </c>
      <c r="C19" s="132" t="s">
        <v>216</v>
      </c>
      <c r="D19" s="132">
        <v>2400</v>
      </c>
      <c r="E19" s="23"/>
      <c r="F19" s="23"/>
      <c r="H19" s="31"/>
    </row>
    <row r="20" spans="2:9" x14ac:dyDescent="0.2">
      <c r="B20" s="124" t="s">
        <v>79</v>
      </c>
      <c r="C20" s="132"/>
      <c r="D20" s="132"/>
      <c r="E20" s="23"/>
      <c r="F20" s="23"/>
      <c r="H20" s="31"/>
    </row>
    <row r="21" spans="2:9" x14ac:dyDescent="0.2">
      <c r="B21" s="103" t="s">
        <v>127</v>
      </c>
      <c r="C21" s="132">
        <v>13608</v>
      </c>
      <c r="D21" s="132" t="s">
        <v>217</v>
      </c>
      <c r="E21" s="23"/>
      <c r="F21" s="23"/>
      <c r="H21" s="31"/>
    </row>
    <row r="22" spans="2:9" x14ac:dyDescent="0.2">
      <c r="B22" s="103" t="s">
        <v>124</v>
      </c>
      <c r="C22" s="132">
        <v>6815</v>
      </c>
      <c r="D22" s="132">
        <v>424</v>
      </c>
      <c r="E22" s="23"/>
      <c r="F22" s="23"/>
      <c r="H22" s="31"/>
    </row>
    <row r="23" spans="2:9" x14ac:dyDescent="0.2">
      <c r="B23" s="103" t="s">
        <v>125</v>
      </c>
      <c r="C23" s="132">
        <v>-1236</v>
      </c>
      <c r="D23" s="132">
        <v>5744</v>
      </c>
      <c r="E23" s="23"/>
      <c r="F23" s="23"/>
      <c r="G23" s="32"/>
      <c r="H23" s="31"/>
    </row>
    <row r="24" spans="2:9" x14ac:dyDescent="0.2">
      <c r="B24" s="103" t="s">
        <v>126</v>
      </c>
      <c r="C24" s="132">
        <v>13659</v>
      </c>
      <c r="D24" s="132">
        <v>4686</v>
      </c>
      <c r="E24" s="23"/>
      <c r="F24" s="23"/>
      <c r="H24" s="31"/>
    </row>
    <row r="25" spans="2:9" x14ac:dyDescent="0.2">
      <c r="B25" s="103" t="s">
        <v>128</v>
      </c>
      <c r="C25" s="132" t="s">
        <v>216</v>
      </c>
      <c r="D25" s="132" t="s">
        <v>217</v>
      </c>
      <c r="E25" s="23"/>
      <c r="F25" s="23"/>
      <c r="H25" s="31"/>
    </row>
    <row r="26" spans="2:9" x14ac:dyDescent="0.2">
      <c r="B26" s="103" t="s">
        <v>129</v>
      </c>
      <c r="C26" s="132">
        <v>2679</v>
      </c>
      <c r="D26" s="132">
        <v>-1510</v>
      </c>
      <c r="E26" s="23"/>
      <c r="F26" s="23"/>
      <c r="H26" s="31"/>
    </row>
    <row r="27" spans="2:9" x14ac:dyDescent="0.2">
      <c r="B27" s="103" t="s">
        <v>130</v>
      </c>
      <c r="C27" s="132">
        <v>-4774</v>
      </c>
      <c r="D27" s="132">
        <v>6353</v>
      </c>
      <c r="E27" s="23"/>
      <c r="F27" s="23"/>
      <c r="H27" s="31"/>
    </row>
    <row r="28" spans="2:9" x14ac:dyDescent="0.2">
      <c r="B28" s="103" t="s">
        <v>131</v>
      </c>
      <c r="C28" s="132">
        <v>19665</v>
      </c>
      <c r="D28" s="132" t="s">
        <v>217</v>
      </c>
      <c r="E28" s="23"/>
      <c r="F28" s="23"/>
      <c r="H28" s="31"/>
    </row>
    <row r="29" spans="2:9" x14ac:dyDescent="0.2">
      <c r="B29" s="102" t="s">
        <v>9</v>
      </c>
      <c r="C29" s="136">
        <f>SUM(C15:C28)</f>
        <v>13258</v>
      </c>
      <c r="D29" s="136">
        <f>SUM(D15:D28)</f>
        <v>58173</v>
      </c>
      <c r="E29" s="23"/>
      <c r="F29" s="23"/>
    </row>
    <row r="30" spans="2:9" ht="13.5" thickBot="1" x14ac:dyDescent="0.25">
      <c r="B30" s="117"/>
      <c r="C30" s="141"/>
      <c r="D30" s="141"/>
      <c r="E30" s="23"/>
      <c r="F30" s="23"/>
    </row>
    <row r="31" spans="2:9" ht="13.5" thickBot="1" x14ac:dyDescent="0.25">
      <c r="B31" s="99" t="s">
        <v>10</v>
      </c>
      <c r="C31" s="99">
        <v>2014</v>
      </c>
      <c r="D31" s="99">
        <v>2013</v>
      </c>
      <c r="E31" s="23"/>
      <c r="F31" s="23"/>
    </row>
    <row r="32" spans="2:9" x14ac:dyDescent="0.2">
      <c r="B32" s="103" t="s">
        <v>132</v>
      </c>
      <c r="C32" s="132">
        <v>-1405</v>
      </c>
      <c r="D32" s="132">
        <v>-80338</v>
      </c>
      <c r="E32" s="23"/>
      <c r="F32" s="23"/>
    </row>
    <row r="33" spans="1:7" x14ac:dyDescent="0.2">
      <c r="B33" s="103" t="s">
        <v>68</v>
      </c>
      <c r="C33" s="132" t="s">
        <v>216</v>
      </c>
      <c r="D33" s="132" t="s">
        <v>217</v>
      </c>
      <c r="E33" s="23"/>
      <c r="F33" s="23"/>
    </row>
    <row r="34" spans="1:7" x14ac:dyDescent="0.2">
      <c r="B34" s="102" t="s">
        <v>11</v>
      </c>
      <c r="C34" s="136">
        <f>SUM(C32:C33)</f>
        <v>-1405</v>
      </c>
      <c r="D34" s="136">
        <f>SUM(D32:D33)</f>
        <v>-80338</v>
      </c>
      <c r="E34" s="23"/>
      <c r="F34" s="23"/>
    </row>
    <row r="35" spans="1:7" ht="13.5" thickBot="1" x14ac:dyDescent="0.25">
      <c r="B35" s="117"/>
      <c r="C35" s="141"/>
      <c r="D35" s="141"/>
      <c r="E35" s="23"/>
      <c r="F35" s="23"/>
    </row>
    <row r="36" spans="1:7" ht="13.5" thickBot="1" x14ac:dyDescent="0.25">
      <c r="B36" s="99" t="s">
        <v>12</v>
      </c>
      <c r="C36" s="99">
        <v>2014</v>
      </c>
      <c r="D36" s="99">
        <v>2013</v>
      </c>
      <c r="E36" s="23"/>
      <c r="F36" s="23"/>
    </row>
    <row r="37" spans="1:7" x14ac:dyDescent="0.2">
      <c r="B37" s="103" t="s">
        <v>133</v>
      </c>
      <c r="C37" s="134">
        <v>-27439</v>
      </c>
      <c r="D37" s="134">
        <v>27439</v>
      </c>
      <c r="E37" s="23"/>
      <c r="F37" s="23"/>
    </row>
    <row r="38" spans="1:7" x14ac:dyDescent="0.2">
      <c r="B38" s="102" t="s">
        <v>13</v>
      </c>
      <c r="C38" s="136">
        <f>SUM(C37)</f>
        <v>-27439</v>
      </c>
      <c r="D38" s="136">
        <f>SUM(D37)</f>
        <v>27439</v>
      </c>
      <c r="E38" s="23"/>
      <c r="F38" s="23"/>
    </row>
    <row r="39" spans="1:7" x14ac:dyDescent="0.2">
      <c r="B39" s="103"/>
      <c r="C39" s="132"/>
      <c r="D39" s="132"/>
      <c r="E39" s="23"/>
      <c r="F39" s="23"/>
    </row>
    <row r="40" spans="1:7" x14ac:dyDescent="0.2">
      <c r="B40" s="103" t="s">
        <v>66</v>
      </c>
      <c r="C40" s="132">
        <f>SUM(C29,C34,C38)</f>
        <v>-15586</v>
      </c>
      <c r="D40" s="132">
        <f>SUM(D29,D34,D38)</f>
        <v>5274</v>
      </c>
      <c r="E40" s="23"/>
      <c r="F40" s="23"/>
    </row>
    <row r="41" spans="1:7" ht="13.5" thickBot="1" x14ac:dyDescent="0.25">
      <c r="B41" s="103"/>
      <c r="C41" s="132"/>
      <c r="D41" s="132"/>
      <c r="E41" s="23"/>
      <c r="F41" s="23"/>
    </row>
    <row r="42" spans="1:7" ht="13.5" thickBot="1" x14ac:dyDescent="0.25">
      <c r="B42" s="99" t="s">
        <v>67</v>
      </c>
      <c r="C42" s="128">
        <f>C44-C43</f>
        <v>-15586</v>
      </c>
      <c r="D42" s="128">
        <f>D44-D43</f>
        <v>5274</v>
      </c>
      <c r="E42" s="23"/>
      <c r="F42" s="23"/>
    </row>
    <row r="43" spans="1:7" ht="13.5" thickBot="1" x14ac:dyDescent="0.25">
      <c r="B43" s="99" t="s">
        <v>14</v>
      </c>
      <c r="C43" s="128">
        <v>21451</v>
      </c>
      <c r="D43" s="128">
        <v>16177</v>
      </c>
      <c r="E43" s="23"/>
      <c r="F43" s="23"/>
      <c r="G43" s="29"/>
    </row>
    <row r="44" spans="1:7" ht="13.5" thickBot="1" x14ac:dyDescent="0.25">
      <c r="B44" s="99" t="s">
        <v>15</v>
      </c>
      <c r="C44" s="128">
        <v>5865</v>
      </c>
      <c r="D44" s="128">
        <v>21451</v>
      </c>
      <c r="E44" s="23"/>
      <c r="F44" s="23"/>
    </row>
    <row r="45" spans="1:7" x14ac:dyDescent="0.2">
      <c r="B45" s="125"/>
      <c r="C45" s="125"/>
      <c r="D45" s="125"/>
      <c r="E45" s="23"/>
      <c r="F45" s="23"/>
    </row>
    <row r="46" spans="1:7" s="1" customFormat="1" ht="11.25" x14ac:dyDescent="0.2">
      <c r="B46" s="144" t="s">
        <v>105</v>
      </c>
      <c r="C46" s="144"/>
      <c r="D46" s="144"/>
      <c r="E46" s="11"/>
    </row>
    <row r="47" spans="1:7" s="1" customFormat="1" x14ac:dyDescent="0.2">
      <c r="A47" s="7"/>
      <c r="B47" s="109"/>
      <c r="C47" s="109"/>
      <c r="D47" s="109"/>
      <c r="E47" s="12"/>
      <c r="F47" s="2"/>
    </row>
    <row r="48" spans="1:7" s="1" customFormat="1" x14ac:dyDescent="0.2">
      <c r="A48" s="7"/>
      <c r="B48" s="109"/>
      <c r="C48" s="109"/>
      <c r="D48" s="109"/>
      <c r="E48" s="12"/>
      <c r="F48" s="2"/>
    </row>
    <row r="49" spans="2:6" s="1" customFormat="1" x14ac:dyDescent="0.2">
      <c r="B49" s="109"/>
      <c r="C49" s="109"/>
      <c r="D49" s="109"/>
      <c r="E49" s="12"/>
      <c r="F49" s="8"/>
    </row>
    <row r="50" spans="2:6" s="1" customFormat="1" ht="11.25" x14ac:dyDescent="0.2">
      <c r="B50" s="111" t="s">
        <v>72</v>
      </c>
      <c r="C50" s="142" t="s">
        <v>73</v>
      </c>
      <c r="D50" s="142"/>
      <c r="E50" s="33"/>
      <c r="F50" s="26"/>
    </row>
    <row r="51" spans="2:6" x14ac:dyDescent="0.2">
      <c r="B51" s="111" t="s">
        <v>4</v>
      </c>
      <c r="C51" s="142" t="s">
        <v>74</v>
      </c>
      <c r="D51" s="142"/>
      <c r="E51" s="33"/>
      <c r="F51" s="26"/>
    </row>
    <row r="52" spans="2:6" x14ac:dyDescent="0.2">
      <c r="B52" s="111" t="s">
        <v>63</v>
      </c>
      <c r="C52" s="142" t="s">
        <v>75</v>
      </c>
      <c r="D52" s="142"/>
      <c r="E52" s="33"/>
      <c r="F52" s="26"/>
    </row>
  </sheetData>
  <mergeCells count="8">
    <mergeCell ref="C51:D51"/>
    <mergeCell ref="C52:D52"/>
    <mergeCell ref="B2:D2"/>
    <mergeCell ref="B3:D3"/>
    <mergeCell ref="B5:D5"/>
    <mergeCell ref="B7:D7"/>
    <mergeCell ref="B46:D46"/>
    <mergeCell ref="C50:D50"/>
  </mergeCells>
  <phoneticPr fontId="2" type="noConversion"/>
  <pageMargins left="0.59055118110236227" right="0.62992125984251968" top="1.7716535433070868" bottom="0.6796875" header="0.51181102362204722" footer="0.515625"/>
  <pageSetup paperSize="9" orientation="portrait" r:id="rId1"/>
  <headerFooter scaleWithDoc="0"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2"/>
  <sheetViews>
    <sheetView showGridLines="0" topLeftCell="A91" workbookViewId="0">
      <selection activeCell="D117" sqref="D117"/>
    </sheetView>
  </sheetViews>
  <sheetFormatPr defaultColWidth="42.85546875" defaultRowHeight="12.75" x14ac:dyDescent="0.2"/>
  <cols>
    <col min="1" max="1" width="36.140625" style="35" customWidth="1"/>
    <col min="2" max="2" width="24.5703125" style="35" customWidth="1"/>
    <col min="3" max="3" width="21.28515625" style="35" customWidth="1"/>
    <col min="4" max="4" width="20.42578125" style="35" customWidth="1"/>
    <col min="5" max="5" width="22" style="35" customWidth="1"/>
    <col min="6" max="6" width="16.85546875" style="35" customWidth="1"/>
    <col min="7" max="16384" width="42.85546875" style="35"/>
  </cols>
  <sheetData>
    <row r="1" spans="1:6" ht="38.25" x14ac:dyDescent="0.2">
      <c r="A1" s="36" t="s">
        <v>142</v>
      </c>
      <c r="B1" s="36"/>
      <c r="C1" s="36"/>
      <c r="D1" s="36"/>
      <c r="E1" s="36"/>
      <c r="F1" s="36"/>
    </row>
    <row r="3" spans="1:6" ht="25.5" x14ac:dyDescent="0.2">
      <c r="A3" s="36" t="s">
        <v>61</v>
      </c>
      <c r="B3" s="36"/>
      <c r="C3" s="36"/>
      <c r="D3" s="36"/>
      <c r="E3" s="36"/>
      <c r="F3" s="36"/>
    </row>
    <row r="7" spans="1:6" x14ac:dyDescent="0.2">
      <c r="A7" s="36" t="s">
        <v>143</v>
      </c>
      <c r="B7" s="36"/>
      <c r="C7" s="36"/>
      <c r="D7" s="36"/>
      <c r="E7" s="36"/>
      <c r="F7" s="36"/>
    </row>
    <row r="8" spans="1:6" ht="409.5" x14ac:dyDescent="0.2">
      <c r="A8" s="36" t="s">
        <v>180</v>
      </c>
      <c r="B8" s="36"/>
      <c r="C8" s="36"/>
      <c r="D8" s="36"/>
      <c r="E8" s="36"/>
      <c r="F8" s="36"/>
    </row>
    <row r="11" spans="1:6" x14ac:dyDescent="0.2">
      <c r="A11" s="36" t="s">
        <v>144</v>
      </c>
    </row>
    <row r="12" spans="1:6" ht="229.5" x14ac:dyDescent="0.2">
      <c r="A12" s="36" t="s">
        <v>181</v>
      </c>
      <c r="B12" s="36"/>
      <c r="C12" s="36"/>
      <c r="D12" s="36"/>
      <c r="E12" s="36"/>
      <c r="F12" s="36"/>
    </row>
    <row r="15" spans="1:6" x14ac:dyDescent="0.2">
      <c r="A15" s="36" t="s">
        <v>145</v>
      </c>
    </row>
    <row r="16" spans="1:6" ht="114.75" x14ac:dyDescent="0.2">
      <c r="A16" s="36" t="s">
        <v>182</v>
      </c>
      <c r="B16" s="36"/>
      <c r="C16" s="36"/>
      <c r="D16" s="36"/>
      <c r="E16" s="36"/>
      <c r="F16" s="36"/>
    </row>
    <row r="18" spans="1:6" ht="89.25" x14ac:dyDescent="0.2">
      <c r="A18" s="36" t="s">
        <v>183</v>
      </c>
      <c r="B18" s="36"/>
      <c r="C18" s="36"/>
      <c r="D18" s="36"/>
      <c r="E18" s="36"/>
      <c r="F18" s="36"/>
    </row>
    <row r="20" spans="1:6" ht="127.5" x14ac:dyDescent="0.2">
      <c r="A20" s="36" t="s">
        <v>167</v>
      </c>
      <c r="B20" s="36"/>
      <c r="C20" s="36"/>
      <c r="D20" s="36"/>
      <c r="E20" s="36"/>
      <c r="F20" s="36"/>
    </row>
    <row r="21" spans="1:6" ht="13.5" thickBot="1" x14ac:dyDescent="0.25"/>
    <row r="22" spans="1:6" ht="14.25" thickTop="1" thickBot="1" x14ac:dyDescent="0.25">
      <c r="B22" s="37" t="s">
        <v>83</v>
      </c>
      <c r="C22" s="38" t="s">
        <v>150</v>
      </c>
    </row>
    <row r="23" spans="1:6" ht="13.5" thickTop="1" x14ac:dyDescent="0.2">
      <c r="B23" s="39" t="s">
        <v>151</v>
      </c>
      <c r="C23" s="40">
        <v>0.2</v>
      </c>
    </row>
    <row r="24" spans="1:6" x14ac:dyDescent="0.2">
      <c r="B24" s="39" t="s">
        <v>152</v>
      </c>
      <c r="C24" s="40">
        <v>0.1</v>
      </c>
    </row>
    <row r="25" spans="1:6" ht="25.5" x14ac:dyDescent="0.2">
      <c r="B25" s="39" t="s">
        <v>153</v>
      </c>
      <c r="C25" s="40">
        <v>0.1</v>
      </c>
    </row>
    <row r="26" spans="1:6" x14ac:dyDescent="0.2">
      <c r="B26" s="39" t="s">
        <v>154</v>
      </c>
      <c r="C26" s="40">
        <v>0.1</v>
      </c>
    </row>
    <row r="27" spans="1:6" ht="13.5" thickBot="1" x14ac:dyDescent="0.25">
      <c r="B27" s="41" t="s">
        <v>155</v>
      </c>
      <c r="C27" s="42">
        <v>0.2</v>
      </c>
    </row>
    <row r="28" spans="1:6" ht="13.5" thickTop="1" x14ac:dyDescent="0.2"/>
    <row r="29" spans="1:6" ht="178.5" x14ac:dyDescent="0.2">
      <c r="A29" s="36" t="s">
        <v>168</v>
      </c>
      <c r="B29" s="36"/>
      <c r="C29" s="36"/>
      <c r="D29" s="36"/>
      <c r="E29" s="36"/>
      <c r="F29" s="36"/>
    </row>
    <row r="31" spans="1:6" ht="13.5" thickBot="1" x14ac:dyDescent="0.25"/>
    <row r="32" spans="1:6" ht="14.25" thickTop="1" thickBot="1" x14ac:dyDescent="0.25">
      <c r="A32" s="86" t="s">
        <v>82</v>
      </c>
      <c r="B32" s="87"/>
      <c r="C32" s="87"/>
      <c r="D32" s="87"/>
      <c r="E32" s="58"/>
    </row>
    <row r="33" spans="1:5" x14ac:dyDescent="0.2">
      <c r="A33" s="39" t="s">
        <v>83</v>
      </c>
      <c r="B33" s="43" t="s">
        <v>84</v>
      </c>
      <c r="C33" s="43" t="s">
        <v>107</v>
      </c>
      <c r="D33" s="43" t="s">
        <v>108</v>
      </c>
      <c r="E33" s="44" t="s">
        <v>109</v>
      </c>
    </row>
    <row r="34" spans="1:5" x14ac:dyDescent="0.2">
      <c r="A34" s="45" t="s">
        <v>85</v>
      </c>
      <c r="B34" s="46">
        <v>3395.6</v>
      </c>
      <c r="C34" s="43" t="s">
        <v>156</v>
      </c>
      <c r="D34" s="43" t="s">
        <v>157</v>
      </c>
      <c r="E34" s="47">
        <v>3395.6</v>
      </c>
    </row>
    <row r="35" spans="1:5" x14ac:dyDescent="0.2">
      <c r="A35" s="45" t="s">
        <v>86</v>
      </c>
      <c r="B35" s="46">
        <v>1260</v>
      </c>
      <c r="C35" s="43" t="s">
        <v>156</v>
      </c>
      <c r="D35" s="43" t="s">
        <v>157</v>
      </c>
      <c r="E35" s="47">
        <v>1260</v>
      </c>
    </row>
    <row r="36" spans="1:5" x14ac:dyDescent="0.2">
      <c r="A36" s="45" t="s">
        <v>54</v>
      </c>
      <c r="B36" s="46">
        <v>1368.99</v>
      </c>
      <c r="C36" s="43" t="s">
        <v>156</v>
      </c>
      <c r="D36" s="43" t="s">
        <v>157</v>
      </c>
      <c r="E36" s="47">
        <v>1368.99</v>
      </c>
    </row>
    <row r="37" spans="1:5" x14ac:dyDescent="0.2">
      <c r="A37" s="45" t="s">
        <v>55</v>
      </c>
      <c r="B37" s="46">
        <v>17227.82</v>
      </c>
      <c r="C37" s="48">
        <v>1405.31</v>
      </c>
      <c r="D37" s="43" t="s">
        <v>157</v>
      </c>
      <c r="E37" s="47">
        <v>18633.13</v>
      </c>
    </row>
    <row r="38" spans="1:5" x14ac:dyDescent="0.2">
      <c r="A38" s="45" t="s">
        <v>56</v>
      </c>
      <c r="B38" s="49">
        <v>93239</v>
      </c>
      <c r="C38" s="50" t="s">
        <v>156</v>
      </c>
      <c r="D38" s="43" t="s">
        <v>157</v>
      </c>
      <c r="E38" s="47">
        <v>93239</v>
      </c>
    </row>
    <row r="39" spans="1:5" ht="13.5" thickBot="1" x14ac:dyDescent="0.25">
      <c r="A39" s="51" t="s">
        <v>87</v>
      </c>
      <c r="B39" s="52">
        <v>116491.41</v>
      </c>
      <c r="C39" s="53">
        <v>1405.31</v>
      </c>
      <c r="D39" s="54" t="s">
        <v>157</v>
      </c>
      <c r="E39" s="55">
        <v>117896.72</v>
      </c>
    </row>
    <row r="40" spans="1:5" ht="14.25" thickTop="1" thickBot="1" x14ac:dyDescent="0.25">
      <c r="A40" s="88"/>
      <c r="B40" s="88"/>
      <c r="C40" s="88"/>
      <c r="D40" s="88"/>
      <c r="E40" s="88"/>
    </row>
    <row r="41" spans="1:5" ht="14.25" thickTop="1" thickBot="1" x14ac:dyDescent="0.25">
      <c r="A41" s="89" t="s">
        <v>88</v>
      </c>
      <c r="B41" s="88"/>
      <c r="C41" s="88"/>
      <c r="D41" s="88"/>
      <c r="E41" s="38"/>
    </row>
    <row r="42" spans="1:5" ht="13.5" thickTop="1" x14ac:dyDescent="0.2">
      <c r="A42" s="90" t="s">
        <v>83</v>
      </c>
      <c r="B42" s="91" t="s">
        <v>84</v>
      </c>
      <c r="C42" s="91" t="s">
        <v>110</v>
      </c>
      <c r="D42" s="91" t="s">
        <v>108</v>
      </c>
      <c r="E42" s="92" t="s">
        <v>109</v>
      </c>
    </row>
    <row r="43" spans="1:5" x14ac:dyDescent="0.2">
      <c r="A43" s="39"/>
      <c r="B43" s="50"/>
      <c r="C43" s="50"/>
      <c r="D43" s="50"/>
      <c r="E43" s="93"/>
    </row>
    <row r="44" spans="1:5" x14ac:dyDescent="0.2">
      <c r="A44" s="45" t="s">
        <v>85</v>
      </c>
      <c r="B44" s="46">
        <v>-2324.5500000000002</v>
      </c>
      <c r="C44" s="43">
        <v>-665.76</v>
      </c>
      <c r="D44" s="43" t="s">
        <v>146</v>
      </c>
      <c r="E44" s="47">
        <v>-2990.31</v>
      </c>
    </row>
    <row r="45" spans="1:5" x14ac:dyDescent="0.2">
      <c r="A45" s="45" t="s">
        <v>86</v>
      </c>
      <c r="B45" s="50">
        <v>-346.5</v>
      </c>
      <c r="C45" s="43">
        <v>-126</v>
      </c>
      <c r="D45" s="43" t="s">
        <v>146</v>
      </c>
      <c r="E45" s="44">
        <v>-472.5</v>
      </c>
    </row>
    <row r="46" spans="1:5" x14ac:dyDescent="0.2">
      <c r="A46" s="45" t="s">
        <v>54</v>
      </c>
      <c r="B46" s="50">
        <v>-403.67</v>
      </c>
      <c r="C46" s="43">
        <v>-136.91999999999999</v>
      </c>
      <c r="D46" s="43" t="s">
        <v>146</v>
      </c>
      <c r="E46" s="44">
        <v>-540.59</v>
      </c>
    </row>
    <row r="47" spans="1:5" x14ac:dyDescent="0.2">
      <c r="A47" s="45" t="s">
        <v>55</v>
      </c>
      <c r="B47" s="46">
        <v>-4813.67</v>
      </c>
      <c r="C47" s="48">
        <v>-1907.92</v>
      </c>
      <c r="D47" s="43" t="s">
        <v>146</v>
      </c>
      <c r="E47" s="47">
        <v>-6721.59</v>
      </c>
    </row>
    <row r="48" spans="1:5" x14ac:dyDescent="0.2">
      <c r="A48" s="45" t="s">
        <v>56</v>
      </c>
      <c r="B48" s="46">
        <v>-14349.85</v>
      </c>
      <c r="C48" s="48">
        <v>-18647.759999999998</v>
      </c>
      <c r="D48" s="43" t="s">
        <v>146</v>
      </c>
      <c r="E48" s="47">
        <v>-32997.61</v>
      </c>
    </row>
    <row r="49" spans="1:6" ht="13.5" thickBot="1" x14ac:dyDescent="0.25">
      <c r="A49" s="51" t="s">
        <v>87</v>
      </c>
      <c r="B49" s="52">
        <v>-22238.240000000002</v>
      </c>
      <c r="C49" s="53">
        <v>-21484.36</v>
      </c>
      <c r="D49" s="54" t="s">
        <v>146</v>
      </c>
      <c r="E49" s="55">
        <v>-43722.6</v>
      </c>
    </row>
    <row r="50" spans="1:6" ht="14.25" thickTop="1" thickBot="1" x14ac:dyDescent="0.25"/>
    <row r="51" spans="1:6" ht="27" thickTop="1" thickBot="1" x14ac:dyDescent="0.25">
      <c r="A51" s="56" t="s">
        <v>83</v>
      </c>
      <c r="B51" s="57" t="s">
        <v>84</v>
      </c>
      <c r="C51" s="57" t="s">
        <v>107</v>
      </c>
      <c r="D51" s="57" t="s">
        <v>158</v>
      </c>
      <c r="E51" s="57" t="s">
        <v>159</v>
      </c>
      <c r="F51" s="58" t="s">
        <v>109</v>
      </c>
    </row>
    <row r="52" spans="1:6" ht="13.5" thickBot="1" x14ac:dyDescent="0.25">
      <c r="A52" s="59" t="s">
        <v>160</v>
      </c>
      <c r="B52" s="60">
        <v>116491.41</v>
      </c>
      <c r="C52" s="60">
        <v>1405.31</v>
      </c>
      <c r="D52" s="61" t="s">
        <v>157</v>
      </c>
      <c r="E52" s="61" t="s">
        <v>157</v>
      </c>
      <c r="F52" s="62">
        <v>117896.72</v>
      </c>
    </row>
    <row r="53" spans="1:6" ht="13.5" thickBot="1" x14ac:dyDescent="0.25">
      <c r="A53" s="59" t="s">
        <v>161</v>
      </c>
      <c r="B53" s="60">
        <v>22238.240000000002</v>
      </c>
      <c r="C53" s="61" t="s">
        <v>146</v>
      </c>
      <c r="D53" s="60">
        <v>-21484.36</v>
      </c>
      <c r="E53" s="61" t="s">
        <v>146</v>
      </c>
      <c r="F53" s="62">
        <v>-43722.6</v>
      </c>
    </row>
    <row r="54" spans="1:6" ht="13.5" thickBot="1" x14ac:dyDescent="0.25">
      <c r="A54" s="41" t="s">
        <v>87</v>
      </c>
      <c r="B54" s="53">
        <v>94253.17</v>
      </c>
      <c r="C54" s="53">
        <v>1405.31</v>
      </c>
      <c r="D54" s="53">
        <v>-21484.36</v>
      </c>
      <c r="E54" s="54" t="s">
        <v>146</v>
      </c>
      <c r="F54" s="55">
        <v>74174.12</v>
      </c>
    </row>
    <row r="55" spans="1:6" ht="13.5" thickTop="1" x14ac:dyDescent="0.2"/>
    <row r="57" spans="1:6" ht="51" x14ac:dyDescent="0.2">
      <c r="A57" s="36" t="s">
        <v>184</v>
      </c>
      <c r="B57" s="36"/>
      <c r="C57" s="36"/>
      <c r="D57" s="36"/>
      <c r="E57" s="36"/>
      <c r="F57" s="36"/>
    </row>
    <row r="60" spans="1:6" ht="38.25" x14ac:dyDescent="0.2">
      <c r="A60" s="36" t="s">
        <v>185</v>
      </c>
      <c r="B60" s="36"/>
      <c r="C60" s="36"/>
      <c r="D60" s="36"/>
      <c r="E60" s="36"/>
      <c r="F60" s="36"/>
    </row>
    <row r="63" spans="1:6" ht="243" thickBot="1" x14ac:dyDescent="0.25">
      <c r="A63" s="36" t="s">
        <v>169</v>
      </c>
      <c r="B63" s="36"/>
      <c r="C63" s="36"/>
      <c r="D63" s="36"/>
      <c r="E63" s="36"/>
      <c r="F63" s="36"/>
    </row>
    <row r="64" spans="1:6" ht="39" thickTop="1" x14ac:dyDescent="0.2">
      <c r="A64" s="90" t="s">
        <v>89</v>
      </c>
      <c r="B64" s="91" t="s">
        <v>84</v>
      </c>
      <c r="C64" s="91" t="s">
        <v>111</v>
      </c>
      <c r="D64" s="91" t="s">
        <v>112</v>
      </c>
      <c r="E64" s="91" t="s">
        <v>170</v>
      </c>
      <c r="F64" s="92" t="s">
        <v>113</v>
      </c>
    </row>
    <row r="65" spans="1:6" x14ac:dyDescent="0.2">
      <c r="A65" s="39"/>
      <c r="B65" s="50"/>
      <c r="C65" s="50"/>
      <c r="D65" s="50"/>
      <c r="E65" s="50"/>
      <c r="F65" s="93"/>
    </row>
    <row r="66" spans="1:6" x14ac:dyDescent="0.2">
      <c r="A66" s="39" t="s">
        <v>90</v>
      </c>
      <c r="B66" s="43"/>
      <c r="C66" s="43"/>
      <c r="D66" s="43"/>
      <c r="E66" s="43"/>
      <c r="F66" s="44"/>
    </row>
    <row r="67" spans="1:6" ht="25.5" x14ac:dyDescent="0.2">
      <c r="A67" s="39" t="s">
        <v>171</v>
      </c>
      <c r="B67" s="48">
        <v>11275.49</v>
      </c>
      <c r="C67" s="43" t="s">
        <v>178</v>
      </c>
      <c r="D67" s="48">
        <v>11275.49</v>
      </c>
      <c r="E67" s="43" t="s">
        <v>157</v>
      </c>
      <c r="F67" s="44" t="s">
        <v>157</v>
      </c>
    </row>
    <row r="68" spans="1:6" ht="25.5" x14ac:dyDescent="0.2">
      <c r="A68" s="39" t="s">
        <v>172</v>
      </c>
      <c r="B68" s="43" t="s">
        <v>146</v>
      </c>
      <c r="C68" s="48">
        <v>298166.33</v>
      </c>
      <c r="D68" s="48">
        <v>291615.09999999998</v>
      </c>
      <c r="E68" s="43" t="s">
        <v>157</v>
      </c>
      <c r="F68" s="47">
        <v>6501.23</v>
      </c>
    </row>
    <row r="69" spans="1:6" ht="13.5" thickBot="1" x14ac:dyDescent="0.25">
      <c r="A69" s="41" t="s">
        <v>91</v>
      </c>
      <c r="B69" s="53">
        <v>11275.49</v>
      </c>
      <c r="C69" s="53">
        <v>298116.33</v>
      </c>
      <c r="D69" s="53">
        <v>302890.59000000003</v>
      </c>
      <c r="E69" s="54" t="s">
        <v>157</v>
      </c>
      <c r="F69" s="55">
        <v>6501.23</v>
      </c>
    </row>
    <row r="70" spans="1:6" ht="13.5" thickTop="1" x14ac:dyDescent="0.2"/>
    <row r="72" spans="1:6" ht="25.5" x14ac:dyDescent="0.2">
      <c r="A72" s="36" t="s">
        <v>186</v>
      </c>
      <c r="B72" s="36"/>
      <c r="C72" s="36"/>
      <c r="D72" s="36"/>
      <c r="E72" s="36"/>
      <c r="F72" s="36"/>
    </row>
    <row r="73" spans="1:6" x14ac:dyDescent="0.2">
      <c r="A73" s="36" t="s">
        <v>179</v>
      </c>
      <c r="B73" s="36"/>
      <c r="C73" s="36"/>
      <c r="D73" s="36"/>
      <c r="E73" s="36"/>
      <c r="F73" s="36"/>
    </row>
    <row r="75" spans="1:6" ht="229.5" x14ac:dyDescent="0.2">
      <c r="A75" s="36" t="s">
        <v>187</v>
      </c>
      <c r="B75" s="36"/>
      <c r="C75" s="36"/>
      <c r="D75" s="36"/>
      <c r="E75" s="36"/>
      <c r="F75" s="36"/>
    </row>
    <row r="77" spans="1:6" ht="127.5" x14ac:dyDescent="0.2">
      <c r="A77" s="36" t="s">
        <v>188</v>
      </c>
      <c r="B77" s="36"/>
      <c r="C77" s="36"/>
      <c r="D77" s="36"/>
      <c r="E77" s="36"/>
      <c r="F77" s="36"/>
    </row>
    <row r="80" spans="1:6" ht="140.25" x14ac:dyDescent="0.2">
      <c r="A80" s="36" t="s">
        <v>189</v>
      </c>
      <c r="B80" s="36"/>
      <c r="C80" s="36"/>
      <c r="D80" s="36"/>
      <c r="E80" s="36"/>
      <c r="F80" s="36"/>
    </row>
    <row r="83" spans="1:6" ht="76.5" x14ac:dyDescent="0.2">
      <c r="A83" s="36" t="s">
        <v>190</v>
      </c>
      <c r="B83" s="36"/>
      <c r="C83" s="36"/>
      <c r="D83" s="36"/>
      <c r="E83" s="36"/>
      <c r="F83" s="36"/>
    </row>
    <row r="86" spans="1:6" ht="76.5" x14ac:dyDescent="0.2">
      <c r="A86" s="36" t="s">
        <v>191</v>
      </c>
      <c r="B86" s="36"/>
      <c r="C86" s="36"/>
      <c r="D86" s="36"/>
      <c r="E86" s="36"/>
      <c r="F86" s="36"/>
    </row>
    <row r="89" spans="1:6" ht="76.5" x14ac:dyDescent="0.2">
      <c r="A89" s="36" t="s">
        <v>192</v>
      </c>
      <c r="B89" s="36"/>
      <c r="C89" s="36"/>
      <c r="D89" s="36"/>
      <c r="E89" s="36"/>
      <c r="F89" s="36"/>
    </row>
    <row r="92" spans="1:6" ht="89.25" x14ac:dyDescent="0.2">
      <c r="A92" s="36" t="s">
        <v>193</v>
      </c>
      <c r="B92" s="36"/>
      <c r="C92" s="36"/>
      <c r="D92" s="36"/>
      <c r="E92" s="36"/>
      <c r="F92" s="36"/>
    </row>
    <row r="95" spans="1:6" ht="114.75" x14ac:dyDescent="0.2">
      <c r="A95" s="36" t="s">
        <v>147</v>
      </c>
      <c r="B95" s="36"/>
      <c r="C95" s="36"/>
      <c r="D95" s="36"/>
      <c r="E95" s="36"/>
      <c r="F95" s="36"/>
    </row>
    <row r="98" spans="1:5" x14ac:dyDescent="0.2">
      <c r="A98" s="35" t="s">
        <v>149</v>
      </c>
    </row>
    <row r="100" spans="1:5" ht="26.25" thickBot="1" x14ac:dyDescent="0.25">
      <c r="A100" s="63" t="s">
        <v>162</v>
      </c>
      <c r="B100" s="64"/>
      <c r="C100" s="63" t="s">
        <v>163</v>
      </c>
      <c r="D100" s="63"/>
      <c r="E100" s="63"/>
    </row>
    <row r="101" spans="1:5" ht="27" thickTop="1" thickBot="1" x14ac:dyDescent="0.25">
      <c r="A101" s="65" t="s">
        <v>57</v>
      </c>
      <c r="B101" s="66">
        <v>633784.52</v>
      </c>
      <c r="C101" s="67" t="s">
        <v>93</v>
      </c>
      <c r="D101" s="68">
        <v>694267.54</v>
      </c>
      <c r="E101" s="69" t="s">
        <v>94</v>
      </c>
    </row>
    <row r="102" spans="1:5" ht="13.5" thickTop="1" x14ac:dyDescent="0.2">
      <c r="A102" s="70" t="s">
        <v>90</v>
      </c>
      <c r="B102" s="71"/>
      <c r="C102" s="64" t="s">
        <v>90</v>
      </c>
      <c r="D102" s="71"/>
      <c r="E102" s="72">
        <v>100</v>
      </c>
    </row>
    <row r="103" spans="1:5" ht="25.5" x14ac:dyDescent="0.2">
      <c r="A103" s="70" t="s">
        <v>95</v>
      </c>
      <c r="B103" s="73">
        <v>321490.59000000003</v>
      </c>
      <c r="C103" s="64" t="s">
        <v>96</v>
      </c>
      <c r="D103" s="71"/>
      <c r="E103" s="72"/>
    </row>
    <row r="104" spans="1:5" x14ac:dyDescent="0.2">
      <c r="A104" s="70" t="s">
        <v>98</v>
      </c>
      <c r="B104" s="71"/>
      <c r="C104" s="64" t="s">
        <v>164</v>
      </c>
      <c r="D104" s="73">
        <v>293288.08</v>
      </c>
      <c r="E104" s="72"/>
    </row>
    <row r="105" spans="1:5" ht="25.5" x14ac:dyDescent="0.2">
      <c r="A105" s="70" t="s">
        <v>137</v>
      </c>
      <c r="B105" s="73">
        <v>302890.59000000003</v>
      </c>
      <c r="C105" s="64" t="s">
        <v>165</v>
      </c>
      <c r="D105" s="71">
        <v>0</v>
      </c>
      <c r="E105" s="72"/>
    </row>
    <row r="106" spans="1:5" x14ac:dyDescent="0.2">
      <c r="A106" s="70" t="s">
        <v>136</v>
      </c>
      <c r="B106" s="73">
        <v>18600</v>
      </c>
      <c r="C106" s="64" t="s">
        <v>97</v>
      </c>
      <c r="D106" s="73">
        <v>64021.88</v>
      </c>
      <c r="E106" s="72"/>
    </row>
    <row r="107" spans="1:5" x14ac:dyDescent="0.2">
      <c r="A107" s="70"/>
      <c r="B107" s="71"/>
      <c r="C107" s="64"/>
      <c r="D107" s="71"/>
      <c r="E107" s="72"/>
    </row>
    <row r="108" spans="1:5" x14ac:dyDescent="0.2">
      <c r="A108" s="70" t="s">
        <v>99</v>
      </c>
      <c r="B108" s="71"/>
      <c r="C108" s="64"/>
      <c r="D108" s="71"/>
      <c r="E108" s="72"/>
    </row>
    <row r="109" spans="1:5" ht="38.25" x14ac:dyDescent="0.2">
      <c r="A109" s="70" t="s">
        <v>52</v>
      </c>
      <c r="B109" s="73">
        <v>196297.38</v>
      </c>
      <c r="C109" s="64" t="s">
        <v>100</v>
      </c>
      <c r="D109" s="73">
        <v>34359.21</v>
      </c>
      <c r="E109" s="72"/>
    </row>
    <row r="110" spans="1:5" x14ac:dyDescent="0.2">
      <c r="A110" s="70" t="s">
        <v>30</v>
      </c>
      <c r="B110" s="73">
        <v>114860.79</v>
      </c>
      <c r="C110" s="64"/>
      <c r="D110" s="71"/>
      <c r="E110" s="72"/>
    </row>
    <row r="111" spans="1:5" ht="25.5" x14ac:dyDescent="0.2">
      <c r="A111" s="70"/>
      <c r="B111" s="71"/>
      <c r="C111" s="64" t="s">
        <v>166</v>
      </c>
      <c r="D111" s="73">
        <v>283193.2</v>
      </c>
      <c r="E111" s="72"/>
    </row>
    <row r="112" spans="1:5" ht="25.5" x14ac:dyDescent="0.2">
      <c r="A112" s="70" t="s">
        <v>31</v>
      </c>
      <c r="B112" s="73">
        <v>1135.76</v>
      </c>
      <c r="C112" s="64" t="s">
        <v>101</v>
      </c>
      <c r="D112" s="71">
        <v>12909.44</v>
      </c>
      <c r="E112" s="72"/>
    </row>
    <row r="113" spans="1:6" ht="13.5" thickBot="1" x14ac:dyDescent="0.25">
      <c r="A113" s="70"/>
      <c r="B113" s="71"/>
      <c r="C113" s="64" t="s">
        <v>102</v>
      </c>
      <c r="D113" s="74">
        <v>6495.73</v>
      </c>
      <c r="E113" s="72"/>
    </row>
    <row r="114" spans="1:6" ht="14.25" thickTop="1" thickBot="1" x14ac:dyDescent="0.25">
      <c r="A114" s="75" t="s">
        <v>103</v>
      </c>
      <c r="B114" s="94">
        <v>-60483.02</v>
      </c>
      <c r="C114" s="95"/>
      <c r="D114" s="66"/>
      <c r="E114" s="76">
        <v>100</v>
      </c>
    </row>
    <row r="115" spans="1:6" ht="13.5" thickTop="1" x14ac:dyDescent="0.2"/>
    <row r="117" spans="1:6" ht="114.75" x14ac:dyDescent="0.2">
      <c r="A117" s="36" t="s">
        <v>173</v>
      </c>
      <c r="B117" s="36"/>
      <c r="C117" s="36"/>
      <c r="D117" s="36"/>
      <c r="E117" s="36"/>
      <c r="F117" s="36"/>
    </row>
    <row r="120" spans="1:6" ht="76.5" x14ac:dyDescent="0.2">
      <c r="A120" s="36" t="s">
        <v>194</v>
      </c>
      <c r="B120" s="36"/>
      <c r="C120" s="36"/>
      <c r="D120" s="36"/>
      <c r="E120" s="36"/>
      <c r="F120" s="36"/>
    </row>
    <row r="122" spans="1:6" ht="13.5" thickBot="1" x14ac:dyDescent="0.25"/>
    <row r="123" spans="1:6" ht="27" thickTop="1" thickBot="1" x14ac:dyDescent="0.25">
      <c r="A123" s="77" t="s">
        <v>92</v>
      </c>
      <c r="B123" s="78" t="s">
        <v>138</v>
      </c>
      <c r="C123" s="78" t="s">
        <v>174</v>
      </c>
      <c r="D123" s="78" t="s">
        <v>175</v>
      </c>
      <c r="E123" s="79" t="s">
        <v>176</v>
      </c>
    </row>
    <row r="124" spans="1:6" ht="13.5" thickBot="1" x14ac:dyDescent="0.25">
      <c r="A124" s="80" t="s">
        <v>139</v>
      </c>
      <c r="B124" s="81">
        <v>321490.59000000003</v>
      </c>
      <c r="C124" s="81">
        <v>372776.95</v>
      </c>
      <c r="D124" s="81">
        <v>694267.54</v>
      </c>
      <c r="E124" s="82">
        <v>442</v>
      </c>
    </row>
    <row r="125" spans="1:6" ht="13.5" thickBot="1" x14ac:dyDescent="0.25">
      <c r="A125" s="83" t="s">
        <v>94</v>
      </c>
      <c r="B125" s="84">
        <f>B124/D124</f>
        <v>0.46306441173960117</v>
      </c>
      <c r="C125" s="84">
        <f>C124/D124</f>
        <v>0.53693558826039889</v>
      </c>
      <c r="D125" s="85">
        <f>D124/D124</f>
        <v>1</v>
      </c>
      <c r="E125" s="67"/>
    </row>
    <row r="126" spans="1:6" ht="13.5" thickTop="1" x14ac:dyDescent="0.2"/>
    <row r="128" spans="1:6" x14ac:dyDescent="0.2">
      <c r="A128" s="96" t="s">
        <v>195</v>
      </c>
      <c r="B128" s="96"/>
      <c r="C128" s="96"/>
      <c r="D128" s="96"/>
      <c r="E128" s="96"/>
      <c r="F128" s="36"/>
    </row>
    <row r="131" spans="1:6" ht="51" x14ac:dyDescent="0.2">
      <c r="A131" s="36" t="s">
        <v>177</v>
      </c>
      <c r="B131" s="36"/>
      <c r="C131" s="36"/>
      <c r="D131" s="36"/>
      <c r="E131" s="36"/>
      <c r="F131" s="36"/>
    </row>
    <row r="134" spans="1:6" x14ac:dyDescent="0.2">
      <c r="A134" s="36" t="s">
        <v>148</v>
      </c>
      <c r="B134" s="36"/>
      <c r="C134" s="36"/>
      <c r="D134" s="36"/>
      <c r="E134" s="36"/>
      <c r="F134" s="36"/>
    </row>
    <row r="140" spans="1:6" x14ac:dyDescent="0.2">
      <c r="A140" s="64" t="s">
        <v>72</v>
      </c>
      <c r="B140" s="64" t="s">
        <v>73</v>
      </c>
    </row>
    <row r="141" spans="1:6" x14ac:dyDescent="0.2">
      <c r="A141" s="64" t="s">
        <v>4</v>
      </c>
      <c r="B141" s="64" t="s">
        <v>74</v>
      </c>
    </row>
    <row r="142" spans="1:6" x14ac:dyDescent="0.2">
      <c r="A142" s="64" t="s">
        <v>63</v>
      </c>
      <c r="B142" s="64" t="s">
        <v>75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BP 2014</vt:lpstr>
      <vt:lpstr>DR 2014</vt:lpstr>
      <vt:lpstr> DMPL 2014</vt:lpstr>
      <vt:lpstr>DFC 2014</vt:lpstr>
      <vt:lpstr>Quadros (Notas)</vt:lpstr>
      <vt:lpstr>' DMPL 2014'!Area_de_impressao</vt:lpstr>
      <vt:lpstr>'BP 2014'!Area_de_impressao</vt:lpstr>
      <vt:lpstr>'DFC 2014'!Area_de_impressao</vt:lpstr>
      <vt:lpstr>'DR 2014'!Area_de_impressao</vt:lpstr>
    </vt:vector>
  </TitlesOfParts>
  <Company>'AGUIA ASSESSORIA CONTABIL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ARISTIDES Costa Vieira</dc:creator>
  <cp:lastModifiedBy>Lar Maos Pequenas</cp:lastModifiedBy>
  <cp:lastPrinted>2013-07-29T16:26:19Z</cp:lastPrinted>
  <dcterms:created xsi:type="dcterms:W3CDTF">2005-03-30T13:16:26Z</dcterms:created>
  <dcterms:modified xsi:type="dcterms:W3CDTF">2020-05-19T15:08:54Z</dcterms:modified>
</cp:coreProperties>
</file>