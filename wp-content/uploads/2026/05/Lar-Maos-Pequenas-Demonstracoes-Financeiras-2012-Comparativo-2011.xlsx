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r Maos Pequenas\Desktop\Balanços\"/>
    </mc:Choice>
  </mc:AlternateContent>
  <bookViews>
    <workbookView xWindow="0" yWindow="0" windowWidth="13530" windowHeight="6450" activeTab="3"/>
  </bookViews>
  <sheets>
    <sheet name="BP 2012 - Publicação" sheetId="5" r:id="rId1"/>
    <sheet name="DR 2012 - Publicação" sheetId="1" r:id="rId2"/>
    <sheet name=" DMPL 2012 - Publicação" sheetId="7" r:id="rId3"/>
    <sheet name="DFC 2012 Publicação" sheetId="10" r:id="rId4"/>
    <sheet name="Balancete 01-12 C Zeramento" sheetId="11" r:id="rId5"/>
    <sheet name="Balancete 01-12 S Zeramento" sheetId="12" r:id="rId6"/>
  </sheets>
  <definedNames>
    <definedName name="_xlnm.Print_Area" localSheetId="2">' DMPL 2012 - Publicação'!$B$2:$E$27</definedName>
    <definedName name="_xlnm.Print_Area" localSheetId="0">'BP 2012 - Publicação'!$B$2:$E$57</definedName>
    <definedName name="_xlnm.Print_Area" localSheetId="3">'DFC 2012 Publicação'!$B$1:$D$52</definedName>
    <definedName name="_xlnm.Print_Area" localSheetId="1">'DR 2012 - Publicação'!$B$2:$G$54</definedName>
  </definedNames>
  <calcPr calcId="162913" calcMode="manual"/>
</workbook>
</file>

<file path=xl/calcChain.xml><?xml version="1.0" encoding="utf-8"?>
<calcChain xmlns="http://schemas.openxmlformats.org/spreadsheetml/2006/main">
  <c r="F28" i="1" l="1"/>
  <c r="F36" i="1"/>
  <c r="F27" i="1"/>
  <c r="F25" i="1" s="1"/>
  <c r="F20" i="1"/>
  <c r="F14" i="1"/>
  <c r="F17" i="1"/>
  <c r="F12" i="1"/>
  <c r="F13" i="10"/>
  <c r="D34" i="10"/>
  <c r="D15" i="10"/>
  <c r="D19" i="10"/>
  <c r="C34" i="10"/>
  <c r="E15" i="7"/>
  <c r="D16" i="7"/>
  <c r="C16" i="7"/>
  <c r="E16" i="7" s="1"/>
  <c r="D28" i="10" l="1"/>
  <c r="D39" i="10" s="1"/>
  <c r="C15" i="10"/>
  <c r="C28" i="10" s="1"/>
  <c r="D41" i="10"/>
  <c r="C41" i="10"/>
  <c r="D11" i="7" l="1"/>
  <c r="D13" i="7" s="1"/>
  <c r="D17" i="7" s="1"/>
  <c r="C11" i="7"/>
  <c r="C13" i="7" s="1"/>
  <c r="C17" i="7" s="1"/>
  <c r="E12" i="7"/>
  <c r="C14" i="7" s="1"/>
  <c r="E14" i="7" s="1"/>
  <c r="E10" i="7"/>
  <c r="E28" i="1"/>
  <c r="E27" i="1" s="1"/>
  <c r="E41" i="1"/>
  <c r="E37" i="1"/>
  <c r="F11" i="1"/>
  <c r="E17" i="1"/>
  <c r="E11" i="1" s="1"/>
  <c r="E12" i="1"/>
  <c r="D44" i="5"/>
  <c r="E44" i="5"/>
  <c r="E34" i="5"/>
  <c r="E31" i="5" s="1"/>
  <c r="D39" i="5"/>
  <c r="D31" i="5" s="1"/>
  <c r="E42" i="5"/>
  <c r="D42" i="5"/>
  <c r="E34" i="1" l="1"/>
  <c r="F34" i="1"/>
  <c r="F46" i="1"/>
  <c r="E36" i="1"/>
  <c r="E25" i="1" s="1"/>
  <c r="E46" i="1" s="1"/>
  <c r="E11" i="7"/>
  <c r="E13" i="7" s="1"/>
  <c r="E17" i="7" s="1"/>
  <c r="D47" i="5"/>
  <c r="E47" i="5"/>
  <c r="D21" i="5" l="1"/>
  <c r="D20" i="5" s="1"/>
  <c r="E21" i="5"/>
  <c r="E20" i="5" s="1"/>
  <c r="D12" i="5"/>
  <c r="D11" i="5" s="1"/>
  <c r="D15" i="5"/>
  <c r="F26" i="10"/>
  <c r="F25" i="10"/>
  <c r="F24" i="10"/>
  <c r="F23" i="10"/>
  <c r="F22" i="10"/>
  <c r="F21" i="10"/>
  <c r="F20" i="10"/>
  <c r="F19" i="10"/>
  <c r="F18" i="10"/>
  <c r="F17" i="10" l="1"/>
  <c r="F35" i="10"/>
  <c r="F37" i="10" l="1"/>
  <c r="F43" i="10" l="1"/>
  <c r="F42" i="10"/>
  <c r="F41" i="10"/>
  <c r="F40" i="10"/>
  <c r="F38" i="10"/>
  <c r="F36" i="10"/>
  <c r="F27" i="10"/>
  <c r="F16" i="10"/>
  <c r="F14" i="10"/>
  <c r="F11" i="10"/>
  <c r="G43" i="1"/>
  <c r="G18" i="1"/>
  <c r="G12" i="1" s="1"/>
  <c r="D16" i="5"/>
  <c r="D10" i="5" s="1"/>
  <c r="D28" i="5" s="1"/>
  <c r="E11" i="5"/>
  <c r="E16" i="5"/>
  <c r="G25" i="1"/>
  <c r="E10" i="5" l="1"/>
  <c r="E28" i="5" s="1"/>
  <c r="G11" i="1"/>
  <c r="G46" i="1" s="1"/>
  <c r="G27" i="1"/>
  <c r="F15" i="10"/>
  <c r="F10" i="10"/>
  <c r="F28" i="10" l="1"/>
  <c r="F34" i="10"/>
  <c r="C39" i="10"/>
  <c r="F39" i="10" s="1"/>
</calcChain>
</file>

<file path=xl/comments1.xml><?xml version="1.0" encoding="utf-8"?>
<comments xmlns="http://schemas.openxmlformats.org/spreadsheetml/2006/main">
  <authors>
    <author>Home</author>
  </authors>
  <commentList>
    <comment ref="B19" authorId="0" shapeId="0">
      <text>
        <r>
          <rPr>
            <b/>
            <sz val="9"/>
            <color indexed="81"/>
            <rFont val="Tahoma"/>
            <family val="2"/>
          </rPr>
          <t>Home:
Nunca evidenciamos os trabalhos realizados pela oficina e a renda recebida pelos trabalho dos aprendizes. Lembrando que esse recursos é repassado a eles como bolsa.</t>
        </r>
      </text>
    </comment>
  </commentList>
</comments>
</file>

<file path=xl/sharedStrings.xml><?xml version="1.0" encoding="utf-8"?>
<sst xmlns="http://schemas.openxmlformats.org/spreadsheetml/2006/main" count="649" uniqueCount="327">
  <si>
    <t xml:space="preserve">Exercícios findos em 31 de dezembro - em reais </t>
  </si>
  <si>
    <t>      </t>
  </si>
  <si>
    <t>Resultado do Exercício</t>
  </si>
  <si>
    <t>Total</t>
  </si>
  <si>
    <t>Presidente</t>
  </si>
  <si>
    <t>BALANÇO PATRIMONIAL</t>
  </si>
  <si>
    <t>(+/-) Incorporação dos Superávits / Déficits</t>
  </si>
  <si>
    <t>(+/-) Superávits / Déficits do Exercício</t>
  </si>
  <si>
    <t>Saldo em 31/12/2010</t>
  </si>
  <si>
    <t>Atividades Operacionais</t>
  </si>
  <si>
    <t xml:space="preserve">   (+) Depreciação / Amortização</t>
  </si>
  <si>
    <t xml:space="preserve">   (-) Ganho na Venda de Imobilizado</t>
  </si>
  <si>
    <t>(=) Caixa gerado pelas atividades operacionais</t>
  </si>
  <si>
    <t>FLUXO DAS ATIVIDADES DE INVESTIMENTOS</t>
  </si>
  <si>
    <t>Aquisição de imobilizado ( - )</t>
  </si>
  <si>
    <t>(=) Caixa gerado pelas atividades de investimentos</t>
  </si>
  <si>
    <t>FLUXO DAS ATIVIDADES DE FINANCIAMENTOS</t>
  </si>
  <si>
    <t>(=) Caixa gerado pelas atividades de financiamentos</t>
  </si>
  <si>
    <t>SALDO INICIAL DE DISPONIBILIDADES</t>
  </si>
  <si>
    <t>SALDO FINAL DE DISPONIBILIDADES</t>
  </si>
  <si>
    <t>Saldo em 31/12/2011</t>
  </si>
  <si>
    <t>A T I V O</t>
  </si>
  <si>
    <t>ATIVO CIRCULANTE</t>
  </si>
  <si>
    <t xml:space="preserve">  DISPONIBILIDADES</t>
  </si>
  <si>
    <t xml:space="preserve">  CRÉDITOS A RECEBER</t>
  </si>
  <si>
    <t xml:space="preserve">    Créditos por Adiantamentos</t>
  </si>
  <si>
    <t>ATIVO NÂO CIRCULANTE</t>
  </si>
  <si>
    <t xml:space="preserve">  IMOBILIZADO</t>
  </si>
  <si>
    <t xml:space="preserve">    Equipamentos de Informática</t>
  </si>
  <si>
    <t xml:space="preserve">    Equipamentos de Telefonia</t>
  </si>
  <si>
    <t xml:space="preserve">    Máquinas e Equipamentos</t>
  </si>
  <si>
    <t xml:space="preserve">    Móveis e Utensílios</t>
  </si>
  <si>
    <t xml:space="preserve">    Veículos</t>
  </si>
  <si>
    <t xml:space="preserve">     (-) Depreciação Acumulada</t>
  </si>
  <si>
    <t>TOTAL  DO  ATIVO</t>
  </si>
  <si>
    <t>P A S S I V O   +   P A T R I M O N I O  L I Q U I D O</t>
  </si>
  <si>
    <t>PASSIVO  CIRCULANTE</t>
  </si>
  <si>
    <t>PASSIVO NÃO CIRCULANTE</t>
  </si>
  <si>
    <t>Outras Obrigações de Longo Prazo</t>
  </si>
  <si>
    <t>TOTAL  DO PASSIVO + PATRIMONIO LIQUIDO</t>
  </si>
  <si>
    <t xml:space="preserve">  Assistencia Social</t>
  </si>
  <si>
    <t xml:space="preserve">  Campanhas, Festas e Arrecadações</t>
  </si>
  <si>
    <t xml:space="preserve">  Receitas Financeiras</t>
  </si>
  <si>
    <t>C U S T O S   E   D E S P E S A S</t>
  </si>
  <si>
    <t xml:space="preserve">  Serviços Terceiros</t>
  </si>
  <si>
    <t xml:space="preserve">  Gastos Gerais de Funcionamento</t>
  </si>
  <si>
    <t>Despesas Financeiras</t>
  </si>
  <si>
    <t>Despesas Tributarias</t>
  </si>
  <si>
    <t>RESULTADO  DO  EXERCÍCIO</t>
  </si>
  <si>
    <t>DEMONSTRAÇÃO DO SUPERÁVIT (DÉFICIT)</t>
  </si>
  <si>
    <t>DEMONSTRAÇÃO DO FLUXO DE CAIXA</t>
  </si>
  <si>
    <t>FLUXO DAS ATIVIDADES DE OPERACIONAIS</t>
  </si>
  <si>
    <t xml:space="preserve">    Fornecedores de Materiais / Serviços</t>
  </si>
  <si>
    <t xml:space="preserve">      Recursos de Entidades Publicas - Assitencia Social</t>
  </si>
  <si>
    <t xml:space="preserve">      (-) Aplicação de Recursos - Assistencia Social</t>
  </si>
  <si>
    <t>Diadema, 31 de Dezembro de 2012</t>
  </si>
  <si>
    <t>Demonstrações financeiras de 2012 comparativo 2011</t>
  </si>
  <si>
    <t>R E C E I T A S   O P E R A C I O N A I S</t>
  </si>
  <si>
    <t>Resultado Bruto</t>
  </si>
  <si>
    <t xml:space="preserve">  Gastos Campanhas e Arrecadações</t>
  </si>
  <si>
    <t>CUSTEIO DOS PROJETOS</t>
  </si>
  <si>
    <t>DESPESAS OPERACIONAIS</t>
  </si>
  <si>
    <t xml:space="preserve">  Manutenção e Infra Estrutura</t>
  </si>
  <si>
    <t xml:space="preserve">  Serviços de Comunicação</t>
  </si>
  <si>
    <t>Saldo anterior</t>
  </si>
  <si>
    <t>Saldo Atual</t>
  </si>
  <si>
    <r>
      <rPr>
        <b/>
        <sz val="8"/>
        <rFont val="Verdana"/>
        <family val="2"/>
      </rPr>
      <t xml:space="preserve"> </t>
    </r>
    <r>
      <rPr>
        <b/>
        <u/>
        <sz val="8"/>
        <rFont val="Verdana"/>
        <family val="2"/>
      </rPr>
      <t>Com Restrição</t>
    </r>
  </si>
  <si>
    <r>
      <rPr>
        <b/>
        <sz val="8"/>
        <rFont val="Verdana"/>
        <family val="2"/>
      </rPr>
      <t xml:space="preserve"> </t>
    </r>
    <r>
      <rPr>
        <b/>
        <u/>
        <sz val="8"/>
        <rFont val="Verdana"/>
        <family val="2"/>
      </rPr>
      <t>Sem Restrição</t>
    </r>
  </si>
  <si>
    <t>Saldo em 31/12/2012</t>
  </si>
  <si>
    <t>DEMONSTRAÇÃO DAS MUTAÇÕES DO PATRIMONIO LIQUIDO</t>
  </si>
  <si>
    <t>Patrimônio Liquido</t>
  </si>
  <si>
    <t xml:space="preserve">    Caixa e Bancos Recursos Livres - Assistência Social</t>
  </si>
  <si>
    <t xml:space="preserve">    Bancos Recursos Terceiros - Assistência Social</t>
  </si>
  <si>
    <t xml:space="preserve">    Aplicações financeiras - Recursos Livres - Assistência Social</t>
  </si>
  <si>
    <t xml:space="preserve">    Aplicações financeiras - Recursos terceiros - Assistência Social</t>
  </si>
  <si>
    <t xml:space="preserve">    Outros Direitos Realizáveis</t>
  </si>
  <si>
    <t>Superávit/Déficit Exercício</t>
  </si>
  <si>
    <t xml:space="preserve">    Secr. Assistência Social e Cidadania (PMD/SASC)</t>
  </si>
  <si>
    <t xml:space="preserve">  Doações Pessoas Físicas/Jurídicas</t>
  </si>
  <si>
    <t xml:space="preserve">  Trabalhos Voluntários</t>
  </si>
  <si>
    <r>
      <rPr>
        <b/>
        <sz val="8"/>
        <rFont val="Verdana"/>
        <family val="2"/>
      </rPr>
      <t xml:space="preserve"> </t>
    </r>
    <r>
      <rPr>
        <b/>
        <u/>
        <sz val="8"/>
        <rFont val="Verdana"/>
        <family val="2"/>
      </rPr>
      <t>Assistência Social</t>
    </r>
  </si>
  <si>
    <t xml:space="preserve">  Pessoal Com Vinculo Empregatício</t>
  </si>
  <si>
    <t>Superávit/déficit</t>
  </si>
  <si>
    <t xml:space="preserve">   (+/-) Ajuste Exercícios Anteriores</t>
  </si>
  <si>
    <t>Superávit/Déficit Ajustado</t>
  </si>
  <si>
    <t>------------</t>
  </si>
  <si>
    <t>--------------------</t>
  </si>
  <si>
    <t>---------------</t>
  </si>
  <si>
    <t>Saldo Anterior</t>
  </si>
  <si>
    <t>ATIVO</t>
  </si>
  <si>
    <t>CIRCULANTE</t>
  </si>
  <si>
    <t>DISPONIBILIDADES</t>
  </si>
  <si>
    <t>CAIXA</t>
  </si>
  <si>
    <t>CAIXA GERAL</t>
  </si>
  <si>
    <t>APLIC. FIN. LIQ. IMED. - RECURSOS LIVRES</t>
  </si>
  <si>
    <t>CREDITOS A RECEBER</t>
  </si>
  <si>
    <t>VERBAS A RECEBER</t>
  </si>
  <si>
    <t>SECR. ASS. SOCIAL E CIDADANIA - PMD/SASC</t>
  </si>
  <si>
    <t>FESTA JUNINA</t>
  </si>
  <si>
    <t>DECIMO TERCEIRO SALARIO</t>
  </si>
  <si>
    <t>FERIAS</t>
  </si>
  <si>
    <t>SALARIOS E ORDENADOS</t>
  </si>
  <si>
    <t>ENCARGOS SOCIAIS</t>
  </si>
  <si>
    <t>SINDICAL</t>
  </si>
  <si>
    <t>IMOBILIZADO</t>
  </si>
  <si>
    <t>EQUIPAMENTOS DE INFORMATICA</t>
  </si>
  <si>
    <t>EQUIPAMENTOS DE TELEFONIA</t>
  </si>
  <si>
    <t>MAQUINAS E EQUIPAMENTOS</t>
  </si>
  <si>
    <t>MOVEIS E UTENSILIOS</t>
  </si>
  <si>
    <t>VEICULOS</t>
  </si>
  <si>
    <t>EMPRESTIMOS</t>
  </si>
  <si>
    <t>FORNECEDORES</t>
  </si>
  <si>
    <t>SEGUROS A PAGAR</t>
  </si>
  <si>
    <t>FGTS</t>
  </si>
  <si>
    <t>OBRIGACOES</t>
  </si>
  <si>
    <t>RESCISOES A PAGAR</t>
  </si>
  <si>
    <t>SALARIOS E ORDENADOS A PAGAR</t>
  </si>
  <si>
    <t>PROVISOES TRABALHISTAS</t>
  </si>
  <si>
    <t>SUPERAVIT OU DEFICIT</t>
  </si>
  <si>
    <t>SUPERAVIT ACUMULADO</t>
  </si>
  <si>
    <t>DEFICIT ACUMULADO</t>
  </si>
  <si>
    <t>RECEITAS</t>
  </si>
  <si>
    <t>DOACOES</t>
  </si>
  <si>
    <t>CONVENIOS</t>
  </si>
  <si>
    <t>CAMPANHAS E ARRECADACOES</t>
  </si>
  <si>
    <t>RECEITAS FINANCEIRAS</t>
  </si>
  <si>
    <t>RENDA DE TITULOS</t>
  </si>
  <si>
    <t>OUTRAS RECEITAS</t>
  </si>
  <si>
    <t>DESPESAS</t>
  </si>
  <si>
    <t>DE CUSTEIO</t>
  </si>
  <si>
    <t>HORAS EXTRAS</t>
  </si>
  <si>
    <t>INDENIZACOES E AVISO PREVIO</t>
  </si>
  <si>
    <t>CONDUCAO URBANA</t>
  </si>
  <si>
    <t>PIS/PASEP</t>
  </si>
  <si>
    <t>BENS DE PEQUENO VALOR</t>
  </si>
  <si>
    <t>MATERIAL DE CONSUMO</t>
  </si>
  <si>
    <t>REFEICOES</t>
  </si>
  <si>
    <t>FRETE</t>
  </si>
  <si>
    <t>LOCOMOCOES LOCAIS</t>
  </si>
  <si>
    <t>SERVICOS TERCEIRIZADOS</t>
  </si>
  <si>
    <t>DESPESAS ADMINISTRATIVAS</t>
  </si>
  <si>
    <t>MANUTENCAO DE INFRA ESTRUTURA</t>
  </si>
  <si>
    <t>SERVICOS DE COMUNICACAO</t>
  </si>
  <si>
    <t>TELEFONIA</t>
  </si>
  <si>
    <t>APOIO ADMINISTRATIVO</t>
  </si>
  <si>
    <t>CARTORIO</t>
  </si>
  <si>
    <t>CONFRATERNIZACOES</t>
  </si>
  <si>
    <t>MATERIAL DE ESCRITORIO</t>
  </si>
  <si>
    <t>REMEDIOS E MEDICAMENTOS</t>
  </si>
  <si>
    <t>TARIFA DE ENERGIA ELETRICA</t>
  </si>
  <si>
    <t>CORREIOS</t>
  </si>
  <si>
    <t>SEGURANCA E VIGILANCIA</t>
  </si>
  <si>
    <t>ADICIONAL NOTURNO</t>
  </si>
  <si>
    <t>DESPESAS FINANCEIRAS</t>
  </si>
  <si>
    <t>JUROS PASSIVOS</t>
  </si>
  <si>
    <t>OUTRAS DESPESAS FINANCEIRAS</t>
  </si>
  <si>
    <t>MULTAS FISCAIS</t>
  </si>
  <si>
    <t>DESPESAS TRIBUTARIAS</t>
  </si>
  <si>
    <t>IOF / IOC</t>
  </si>
  <si>
    <t>IRRF NAO COMPENSAVEL</t>
  </si>
  <si>
    <t>CONTRIBUICOES</t>
  </si>
  <si>
    <t>ESCRITORIO CONTABIL AGUIA LTDA</t>
  </si>
  <si>
    <t>Balancete de Verificação</t>
  </si>
  <si>
    <t>no Periodo:</t>
  </si>
  <si>
    <t>Data:</t>
  </si>
  <si>
    <t>---------------------------------------------</t>
  </si>
  <si>
    <t>------------------------</t>
  </si>
  <si>
    <t>---------------------</t>
  </si>
  <si>
    <t>Codigo</t>
  </si>
  <si>
    <t>Descrição</t>
  </si>
  <si>
    <t>Débito</t>
  </si>
  <si>
    <t>Crédito</t>
  </si>
  <si>
    <t>DIADEMA, 31 de dezembro de 2012</t>
  </si>
  <si>
    <t xml:space="preserve">    Verbas a Receber - </t>
  </si>
  <si>
    <t xml:space="preserve">    Obrigações Trabalhistas</t>
  </si>
  <si>
    <t xml:space="preserve">    Encargos a Recolher</t>
  </si>
  <si>
    <t xml:space="preserve">    Contas a Pagar</t>
  </si>
  <si>
    <t xml:space="preserve">    Obrigações Tributárias</t>
  </si>
  <si>
    <t xml:space="preserve">    Provisões de Férias e Encargos</t>
  </si>
  <si>
    <t>PATRIMONIO LIQUIDO (PASSIVO A DESCOBERTO)</t>
  </si>
  <si>
    <r>
      <t xml:space="preserve">    </t>
    </r>
    <r>
      <rPr>
        <b/>
        <i/>
        <sz val="8"/>
        <rFont val="Verdana"/>
        <family val="2"/>
      </rPr>
      <t>Recursos de Projetos</t>
    </r>
  </si>
  <si>
    <t>LAR ASSISTENCIAL MÃOS PEQUENAS</t>
  </si>
  <si>
    <t xml:space="preserve">    Emprestimos</t>
  </si>
  <si>
    <t xml:space="preserve">           ELZIRA TURUKO TAIRA SANTOS</t>
  </si>
  <si>
    <t>CPF: 880.144.878-34</t>
  </si>
  <si>
    <t xml:space="preserve">SUZANA BERALDO SILVA </t>
  </si>
  <si>
    <t>Técnico Contábil</t>
  </si>
  <si>
    <t>CRC TC1SP207631/O-0</t>
  </si>
  <si>
    <t>Patrimonio Social</t>
  </si>
  <si>
    <t xml:space="preserve">  Creditos Nota Fiscal Paulista</t>
  </si>
  <si>
    <t xml:space="preserve">  Outras Receitas</t>
  </si>
  <si>
    <t xml:space="preserve">  Receitas Parcerias</t>
  </si>
  <si>
    <t>Despesas Extraordinarias</t>
  </si>
  <si>
    <t>(-) (Aumento) Redução de contas a receber</t>
  </si>
  <si>
    <t>(-) (Aumento) Outros Créditos</t>
  </si>
  <si>
    <t>(-) (Aumento) Redução das Obrigações c/ Forncedores</t>
  </si>
  <si>
    <t>(+) Aumento (Redução) das Obrigações Tributárias</t>
  </si>
  <si>
    <t>(+) (Aumento) Redução das Provisões de Férias e Encargos</t>
  </si>
  <si>
    <t>Recurso de projetos</t>
  </si>
  <si>
    <t>(+) Aumento (Redução) Provisões Instituições financeiras</t>
  </si>
  <si>
    <t>(=) Caixa Gerado</t>
  </si>
  <si>
    <t>(=) Resultado Final de Caixa (Disponível)</t>
  </si>
  <si>
    <t>(-) Aumento (Redução) do Imobilizado</t>
  </si>
  <si>
    <t>(+) (Aumento) Outras Obrigações</t>
  </si>
  <si>
    <t>Recursos Recebidos pela Venda de Bens</t>
  </si>
  <si>
    <t>Outros Recebimentos por investimentos Realizados</t>
  </si>
  <si>
    <t>(+) Aumento (Redução) de Empréstimos</t>
  </si>
  <si>
    <t>(+) Aumento (Redução) de Obrigações Trabalhistas</t>
  </si>
  <si>
    <t>(+) Aumento (Redução) de Encargos a Recolher</t>
  </si>
  <si>
    <t>(+/-) Incorporação dos Déficits</t>
  </si>
  <si>
    <t>(+/-) Incorporação dos Superávits</t>
  </si>
  <si>
    <t>(+/-) Superávits do Exercício</t>
  </si>
  <si>
    <t xml:space="preserve">   (+) Baixa Depreciação / Amortização</t>
  </si>
  <si>
    <t>_x000C_</t>
  </si>
  <si>
    <t>---------</t>
  </si>
  <si>
    <t>----------------------------------------------------</t>
  </si>
  <si>
    <t>------------------</t>
  </si>
  <si>
    <t>BANCOS CONTA MOVIMENTOS - RECURSO LIVRE</t>
  </si>
  <si>
    <t>BANCO ITAU C/C 15675-3</t>
  </si>
  <si>
    <t>HSBC - CONVENIO HSBC</t>
  </si>
  <si>
    <t>BANCO ITAU C/C 15824-7</t>
  </si>
  <si>
    <t>INIBANCO CDB</t>
  </si>
  <si>
    <t>UNIBANCO MEGA PLIN</t>
  </si>
  <si>
    <t>HSBC INVESTIMENTOS</t>
  </si>
  <si>
    <t>ITAU APLICACAO AUTOMATICA C/C 15675-3</t>
  </si>
  <si>
    <t>ITAU APLICACAO AUTOMATICA C/C 15824-7</t>
  </si>
  <si>
    <t>ITAU - FUNDO CDB DI :</t>
  </si>
  <si>
    <t>ITAU - FUNDO CDB DI - C/C:15824-7</t>
  </si>
  <si>
    <t>ITAU - FUNDO CDB DI - C/C 15675-3</t>
  </si>
  <si>
    <t>ADIANTAMENTOS A EMPREGADOS</t>
  </si>
  <si>
    <t>DESPESAS ANTECIPADAS</t>
  </si>
  <si>
    <t>PREMIOS DE SEGUROS</t>
  </si>
  <si>
    <t>OUTROS CREDITOS A RECEBER</t>
  </si>
  <si>
    <t>MARIA ANDREA DE SOBRAL</t>
  </si>
  <si>
    <t>ATIVO PERMANENTE</t>
  </si>
  <si>
    <t>BENS E DIREITOS</t>
  </si>
  <si>
    <t>(-) DEPRECIACAO / AMORTIZACAO ACUMULADA</t>
  </si>
  <si>
    <t>PASSIVO + PATRIMONIO LIQUIDO</t>
  </si>
  <si>
    <t>INSTITUICOES FINANCEIRAS</t>
  </si>
  <si>
    <t>EMPRESTIMOS NACIONAIS</t>
  </si>
  <si>
    <t>ITAU C/C 15675-3</t>
  </si>
  <si>
    <t>VINCULADO AO FORNECEDOR</t>
  </si>
  <si>
    <t>MADIS RODBEL CARTAO DE PONTO LTDA</t>
  </si>
  <si>
    <t>VINCULADOS</t>
  </si>
  <si>
    <t>A OBRIGACOES SOCIAS</t>
  </si>
  <si>
    <t>PREVIDENCIA SOCIAL</t>
  </si>
  <si>
    <t>ASSISTENCIAL</t>
  </si>
  <si>
    <t>VINCULADO</t>
  </si>
  <si>
    <t>A OBRIGACOES TRIBUTARIA</t>
  </si>
  <si>
    <t>IRF S/ SALARIOS</t>
  </si>
  <si>
    <t>PIS - FOLHA DE PAGAMENTO</t>
  </si>
  <si>
    <t>C/ EMPREGADOS</t>
  </si>
  <si>
    <t>DECIMO TERCEIRO SALARIO A PAGAR</t>
  </si>
  <si>
    <t>PROVISOES P/ DECIMO TERCEIRO SALARIO</t>
  </si>
  <si>
    <t>PROVISOES P/ FERIAS</t>
  </si>
  <si>
    <t>INDENIZACOES TRABALHISTAS</t>
  </si>
  <si>
    <t>C/ TERCEIROS</t>
  </si>
  <si>
    <t>AUTONOMOS</t>
  </si>
  <si>
    <t>RECURSOS DE PROJETOS</t>
  </si>
  <si>
    <t>RECURSOS DE ENTIDADES PUBLIC. NACIONAIS</t>
  </si>
  <si>
    <t>(-) RECURSOS APLICADOS ENT. PUBL. NAC.</t>
  </si>
  <si>
    <t>(-) SECR. ASS. SOC E CIDADANIA-PMD/SASC</t>
  </si>
  <si>
    <t>OUTRAS OBRIGACOES</t>
  </si>
  <si>
    <t>PATRIMONIO SOCIAL</t>
  </si>
  <si>
    <t>SUPERAVIT OU DEFICIT ACUMULADO</t>
  </si>
  <si>
    <t>DE EXERCICIOS ANTERIORES</t>
  </si>
  <si>
    <t>DO EXERCICIO</t>
  </si>
  <si>
    <t>ORDINARIAS</t>
  </si>
  <si>
    <t>CUSTEIO</t>
  </si>
  <si>
    <t>NAO SOCIO PESSOA FISICA</t>
  </si>
  <si>
    <t>NAO SOCIO PESSOA JURIDICA</t>
  </si>
  <si>
    <t>CONVENIO - PMD SASC</t>
  </si>
  <si>
    <t>FUNDACAO SALVADOR ARENA</t>
  </si>
  <si>
    <t>FEIJOADA BENEFICENTE</t>
  </si>
  <si>
    <t>BAZAR EVENTOS</t>
  </si>
  <si>
    <t>CREDITO NOTA FISCAL PAULISTA</t>
  </si>
  <si>
    <t>FUNDOS PROPRIOS</t>
  </si>
  <si>
    <t>APLICACOES DE RENDA FIXA</t>
  </si>
  <si>
    <t>RECEITAS EXTRAORDINARIAS</t>
  </si>
  <si>
    <t>GANHO NA BAIXA DE BENS</t>
  </si>
  <si>
    <t>DO ATIVO PERMANENTE</t>
  </si>
  <si>
    <t>DOS PROJETOS SOCIAIS</t>
  </si>
  <si>
    <t>REMUNERACAO DE PESSOAL C/ VINC. EMPR.</t>
  </si>
  <si>
    <t>SALARIO E ORDENADOS</t>
  </si>
  <si>
    <t>BENEFICIOS A PESSOAL C/ VINC. EMPREG.</t>
  </si>
  <si>
    <t>ROUPAS, UNIFORMES E MATERIAL PROTECAO</t>
  </si>
  <si>
    <t>REMUNERACAO DE PESSOAL S/ VINCULO EMPREG</t>
  </si>
  <si>
    <t>SERV.PRESTADOS - P.FISICA S/ VINCULO</t>
  </si>
  <si>
    <t>GASTOS C/ CAMPANHAS, ARREC. E SERVICOS</t>
  </si>
  <si>
    <t>GASTOS GERAIS</t>
  </si>
  <si>
    <t>VIAGENS E ESTADIAS</t>
  </si>
  <si>
    <t>REMUNERACAO DE PESSOAL C/ VINC. EMPREG.</t>
  </si>
  <si>
    <t>IMOVEIS</t>
  </si>
  <si>
    <t>UTENSILIOS</t>
  </si>
  <si>
    <t>COMUNICACAO</t>
  </si>
  <si>
    <t>ALUGUEL DE EQUIPAMENTOS</t>
  </si>
  <si>
    <t>ALUGUEL DE IMOVEIS</t>
  </si>
  <si>
    <t>COMBUSTIVEIS E LUBRIFICANTE</t>
  </si>
  <si>
    <t>DEPRECIACAO E AMORTIZACAO</t>
  </si>
  <si>
    <t>REFEICOES E LANCHES</t>
  </si>
  <si>
    <t>TARIFA DE AGUA E ESGOTO</t>
  </si>
  <si>
    <t>SERVICOS TERCEIROS - PESSOA JURIDICA</t>
  </si>
  <si>
    <t>MATERIAL DE COPA, LIMPEZA E HIGIENE.</t>
  </si>
  <si>
    <t>AJUDA DE CUSTO</t>
  </si>
  <si>
    <t>JARDINAGEM</t>
  </si>
  <si>
    <t>SEGUROS EM GERAL</t>
  </si>
  <si>
    <t>MULTA DE TRANSITO</t>
  </si>
  <si>
    <t>CONTABILIDADE</t>
  </si>
  <si>
    <t>LIMPEZA E CONSERVACAO</t>
  </si>
  <si>
    <t>C/ JUROS E DESCONTOS</t>
  </si>
  <si>
    <t>BANCARIAS</t>
  </si>
  <si>
    <t>C/ TAXAS, ANUIDADES E ASSEMELHADOS</t>
  </si>
  <si>
    <t>C/ MULTAS</t>
  </si>
  <si>
    <t>IMPOSTOS, CONTRIBUICOES E TAXAS</t>
  </si>
  <si>
    <t>IPTU</t>
  </si>
  <si>
    <t>CONTRIBUICAO SINDICAL PATRONAL</t>
  </si>
  <si>
    <t>DESPESAS EXTRAORDINA_x0008_'RIAS</t>
  </si>
  <si>
    <t>00               0,00</t>
  </si>
  <si>
    <t>PERDAS NA BAIXA DE BENS DO ATIVO</t>
  </si>
  <si>
    <t>ENCERRAMENTO DO EXERCICIO</t>
  </si>
  <si>
    <t>CONTAS DE APURACAO</t>
  </si>
  <si>
    <t>APURACAO DE RESULTADO</t>
  </si>
  <si>
    <t>Pa_x0008_'gina  7</t>
  </si>
  <si>
    <t>Empresa: 039</t>
  </si>
  <si>
    <t>LARA ASSITENCIAL MAOS PEQUENAS</t>
  </si>
  <si>
    <t>Superavit no Periodo :                3.401,98</t>
  </si>
  <si>
    <t>LAR ASSITENCIAL MAOS PEQUENAS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</si>
</sst>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color indexed="18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b/>
      <sz val="10"/>
      <name val="Verdana"/>
      <family val="2"/>
    </font>
    <font>
      <sz val="10"/>
      <name val="Arial"/>
      <family val="2"/>
    </font>
    <font>
      <i/>
      <sz val="8"/>
      <name val="Verdana"/>
      <family val="2"/>
    </font>
    <font>
      <b/>
      <u/>
      <sz val="8"/>
      <name val="Verdana"/>
      <family val="2"/>
    </font>
    <font>
      <b/>
      <u val="singleAccounting"/>
      <sz val="8"/>
      <name val="Verdana"/>
      <family val="2"/>
    </font>
    <font>
      <b/>
      <sz val="9"/>
      <color indexed="81"/>
      <name val="Tahoma"/>
      <family val="2"/>
    </font>
    <font>
      <b/>
      <i/>
      <sz val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/>
      <top/>
      <bottom style="thin">
        <color indexed="21"/>
      </bottom>
      <diagonal/>
    </border>
    <border>
      <left style="thin">
        <color indexed="21"/>
      </left>
      <right/>
      <top/>
      <bottom/>
      <diagonal/>
    </border>
    <border>
      <left style="thin">
        <color indexed="21"/>
      </left>
      <right/>
      <top style="thin">
        <color indexed="21"/>
      </top>
      <bottom/>
      <diagonal/>
    </border>
    <border>
      <left/>
      <right/>
      <top style="thin">
        <color indexed="21"/>
      </top>
      <bottom/>
      <diagonal/>
    </border>
    <border>
      <left style="thin">
        <color indexed="21"/>
      </left>
      <right style="thin">
        <color indexed="21"/>
      </right>
      <top/>
      <bottom style="thin">
        <color indexed="21"/>
      </bottom>
      <diagonal/>
    </border>
    <border>
      <left style="thin">
        <color indexed="21"/>
      </left>
      <right style="thin">
        <color indexed="21"/>
      </right>
      <top/>
      <bottom/>
      <diagonal/>
    </border>
    <border>
      <left/>
      <right style="thin">
        <color indexed="2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21"/>
      </top>
      <bottom/>
      <diagonal/>
    </border>
    <border>
      <left style="thin">
        <color indexed="21"/>
      </left>
      <right/>
      <top/>
      <bottom style="thin">
        <color indexed="21"/>
      </bottom>
      <diagonal/>
    </border>
    <border>
      <left/>
      <right style="thin">
        <color indexed="21"/>
      </right>
      <top/>
      <bottom style="thin">
        <color indexed="21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/>
      <diagonal/>
    </border>
    <border>
      <left/>
      <right style="thin">
        <color indexed="21"/>
      </right>
      <top style="thin">
        <color indexed="21"/>
      </top>
      <bottom/>
      <diagonal/>
    </border>
    <border>
      <left style="thin">
        <color indexed="64"/>
      </left>
      <right style="thin">
        <color indexed="21"/>
      </right>
      <top/>
      <bottom/>
      <diagonal/>
    </border>
    <border>
      <left style="thin">
        <color indexed="64"/>
      </left>
      <right/>
      <top style="thin">
        <color indexed="21"/>
      </top>
      <bottom/>
      <diagonal/>
    </border>
  </borders>
  <cellStyleXfs count="4">
    <xf numFmtId="0" fontId="0" fillId="0" borderId="0"/>
    <xf numFmtId="0" fontId="7" fillId="0" borderId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96">
    <xf numFmtId="0" fontId="0" fillId="0" borderId="0" xfId="0"/>
    <xf numFmtId="0" fontId="2" fillId="2" borderId="0" xfId="0" applyFont="1" applyFill="1"/>
    <xf numFmtId="0" fontId="4" fillId="2" borderId="1" xfId="0" applyFont="1" applyFill="1" applyBorder="1" applyAlignment="1">
      <alignment wrapText="1"/>
    </xf>
    <xf numFmtId="0" fontId="6" fillId="2" borderId="0" xfId="0" applyFont="1" applyFill="1" applyAlignment="1">
      <alignment horizontal="center"/>
    </xf>
    <xf numFmtId="0" fontId="3" fillId="2" borderId="0" xfId="0" applyFont="1" applyFill="1" applyAlignment="1">
      <alignment vertical="top" wrapText="1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vertical="top"/>
    </xf>
    <xf numFmtId="0" fontId="4" fillId="2" borderId="0" xfId="0" applyFont="1" applyFill="1" applyAlignment="1">
      <alignment horizontal="centerContinuous" vertical="center"/>
    </xf>
    <xf numFmtId="0" fontId="3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centerContinuous" vertical="center"/>
    </xf>
    <xf numFmtId="0" fontId="6" fillId="2" borderId="0" xfId="0" applyFont="1" applyFill="1" applyAlignment="1">
      <alignment horizontal="center" vertical="distributed"/>
    </xf>
    <xf numFmtId="0" fontId="0" fillId="2" borderId="0" xfId="0" applyFill="1"/>
    <xf numFmtId="0" fontId="5" fillId="3" borderId="0" xfId="1" applyFont="1" applyFill="1"/>
    <xf numFmtId="0" fontId="5" fillId="3" borderId="2" xfId="1" applyFont="1" applyFill="1" applyBorder="1"/>
    <xf numFmtId="0" fontId="5" fillId="3" borderId="0" xfId="1" applyFont="1" applyFill="1" applyBorder="1"/>
    <xf numFmtId="0" fontId="4" fillId="3" borderId="0" xfId="1" applyFont="1" applyFill="1" applyBorder="1"/>
    <xf numFmtId="164" fontId="4" fillId="3" borderId="0" xfId="1" applyNumberFormat="1" applyFont="1" applyFill="1" applyBorder="1"/>
    <xf numFmtId="0" fontId="5" fillId="3" borderId="0" xfId="1" applyFont="1" applyFill="1" applyAlignment="1">
      <alignment horizontal="centerContinuous" vertical="center"/>
    </xf>
    <xf numFmtId="0" fontId="5" fillId="3" borderId="0" xfId="1" applyFont="1" applyFill="1" applyAlignment="1">
      <alignment horizontal="center"/>
    </xf>
    <xf numFmtId="164" fontId="5" fillId="3" borderId="0" xfId="1" applyNumberFormat="1" applyFont="1" applyFill="1" applyAlignment="1">
      <alignment horizontal="center"/>
    </xf>
    <xf numFmtId="37" fontId="5" fillId="3" borderId="1" xfId="0" applyNumberFormat="1" applyFont="1" applyFill="1" applyBorder="1" applyAlignment="1">
      <alignment horizontal="right" wrapText="1"/>
    </xf>
    <xf numFmtId="0" fontId="5" fillId="3" borderId="1" xfId="0" applyFont="1" applyFill="1" applyBorder="1" applyAlignment="1">
      <alignment wrapText="1"/>
    </xf>
    <xf numFmtId="0" fontId="4" fillId="3" borderId="4" xfId="0" applyFont="1" applyFill="1" applyBorder="1" applyAlignment="1">
      <alignment horizontal="centerContinuous" vertical="center" wrapText="1"/>
    </xf>
    <xf numFmtId="0" fontId="4" fillId="3" borderId="5" xfId="0" applyFont="1" applyFill="1" applyBorder="1" applyAlignment="1">
      <alignment horizontal="centerContinuous" vertical="center" wrapText="1"/>
    </xf>
    <xf numFmtId="0" fontId="4" fillId="3" borderId="6" xfId="0" applyFont="1" applyFill="1" applyBorder="1" applyAlignment="1">
      <alignment horizontal="centerContinuous" vertical="center" wrapText="1"/>
    </xf>
    <xf numFmtId="0" fontId="4" fillId="3" borderId="7" xfId="0" applyFont="1" applyFill="1" applyBorder="1" applyAlignment="1">
      <alignment horizontal="centerContinuous" vertical="center" wrapText="1"/>
    </xf>
    <xf numFmtId="0" fontId="4" fillId="3" borderId="0" xfId="0" applyFont="1" applyFill="1" applyBorder="1" applyAlignment="1">
      <alignment horizontal="centerContinuous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9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center" vertical="center" wrapText="1"/>
    </xf>
    <xf numFmtId="164" fontId="4" fillId="3" borderId="1" xfId="2" applyFont="1" applyFill="1" applyBorder="1" applyAlignment="1">
      <alignment horizontal="right" wrapText="1"/>
    </xf>
    <xf numFmtId="164" fontId="4" fillId="3" borderId="13" xfId="2" applyFont="1" applyFill="1" applyBorder="1" applyAlignment="1">
      <alignment horizontal="right" wrapText="1"/>
    </xf>
    <xf numFmtId="164" fontId="5" fillId="3" borderId="13" xfId="2" applyFont="1" applyFill="1" applyBorder="1" applyAlignment="1">
      <alignment horizontal="right" wrapText="1"/>
    </xf>
    <xf numFmtId="2" fontId="5" fillId="3" borderId="10" xfId="1" applyNumberFormat="1" applyFont="1" applyFill="1" applyBorder="1"/>
    <xf numFmtId="164" fontId="4" fillId="3" borderId="14" xfId="2" applyFont="1" applyFill="1" applyBorder="1"/>
    <xf numFmtId="0" fontId="5" fillId="3" borderId="15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164" fontId="5" fillId="3" borderId="16" xfId="2" applyFont="1" applyFill="1" applyBorder="1" applyAlignment="1">
      <alignment horizontal="right" wrapText="1"/>
    </xf>
    <xf numFmtId="164" fontId="4" fillId="3" borderId="18" xfId="2" applyFont="1" applyFill="1" applyBorder="1" applyAlignment="1">
      <alignment horizontal="right" wrapText="1"/>
    </xf>
    <xf numFmtId="0" fontId="4" fillId="3" borderId="15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Continuous" vertical="center" wrapText="1"/>
    </xf>
    <xf numFmtId="0" fontId="9" fillId="3" borderId="10" xfId="0" applyFont="1" applyFill="1" applyBorder="1" applyAlignment="1">
      <alignment horizontal="left" vertical="center" wrapText="1"/>
    </xf>
    <xf numFmtId="0" fontId="9" fillId="3" borderId="10" xfId="1" applyFont="1" applyFill="1" applyBorder="1"/>
    <xf numFmtId="0" fontId="2" fillId="2" borderId="0" xfId="0" applyFont="1" applyFill="1" applyAlignment="1">
      <alignment vertical="top" wrapText="1"/>
    </xf>
    <xf numFmtId="43" fontId="4" fillId="3" borderId="0" xfId="1" applyNumberFormat="1" applyFont="1" applyFill="1" applyBorder="1"/>
    <xf numFmtId="0" fontId="8" fillId="3" borderId="8" xfId="0" applyFont="1" applyFill="1" applyBorder="1" applyAlignment="1">
      <alignment horizontal="left" vertical="center" wrapText="1"/>
    </xf>
    <xf numFmtId="0" fontId="9" fillId="3" borderId="0" xfId="0" applyFont="1" applyFill="1" applyBorder="1" applyAlignment="1">
      <alignment horizontal="left" vertical="center" wrapText="1"/>
    </xf>
    <xf numFmtId="0" fontId="9" fillId="3" borderId="20" xfId="1" applyFont="1" applyFill="1" applyBorder="1" applyAlignment="1">
      <alignment vertical="center"/>
    </xf>
    <xf numFmtId="0" fontId="4" fillId="3" borderId="0" xfId="0" applyFont="1" applyFill="1" applyBorder="1" applyAlignment="1">
      <alignment horizontal="left" vertical="center" wrapText="1"/>
    </xf>
    <xf numFmtId="164" fontId="4" fillId="3" borderId="0" xfId="2" applyFont="1" applyFill="1" applyBorder="1" applyAlignment="1">
      <alignment horizontal="right" wrapText="1"/>
    </xf>
    <xf numFmtId="164" fontId="5" fillId="3" borderId="0" xfId="2" applyFont="1" applyFill="1" applyBorder="1" applyAlignment="1">
      <alignment horizontal="right" wrapText="1"/>
    </xf>
    <xf numFmtId="0" fontId="0" fillId="3" borderId="0" xfId="0" applyFill="1"/>
    <xf numFmtId="0" fontId="0" fillId="3" borderId="0" xfId="0" applyFill="1" applyAlignment="1">
      <alignment horizontal="right"/>
    </xf>
    <xf numFmtId="14" fontId="0" fillId="3" borderId="0" xfId="0" applyNumberFormat="1" applyFill="1"/>
    <xf numFmtId="0" fontId="0" fillId="3" borderId="0" xfId="0" quotePrefix="1" applyFill="1"/>
    <xf numFmtId="4" fontId="0" fillId="3" borderId="0" xfId="0" applyNumberFormat="1" applyFill="1"/>
    <xf numFmtId="0" fontId="1" fillId="3" borderId="0" xfId="0" applyFont="1" applyFill="1"/>
    <xf numFmtId="165" fontId="4" fillId="3" borderId="1" xfId="2" applyNumberFormat="1" applyFont="1" applyFill="1" applyBorder="1" applyAlignment="1">
      <alignment horizontal="right" wrapText="1"/>
    </xf>
    <xf numFmtId="165" fontId="4" fillId="3" borderId="12" xfId="2" applyNumberFormat="1" applyFont="1" applyFill="1" applyBorder="1" applyAlignment="1">
      <alignment horizontal="right" wrapText="1"/>
    </xf>
    <xf numFmtId="165" fontId="5" fillId="3" borderId="12" xfId="2" applyNumberFormat="1" applyFont="1" applyFill="1" applyBorder="1" applyAlignment="1">
      <alignment horizontal="right" wrapText="1"/>
    </xf>
    <xf numFmtId="165" fontId="5" fillId="3" borderId="11" xfId="2" applyNumberFormat="1" applyFont="1" applyFill="1" applyBorder="1" applyAlignment="1">
      <alignment horizontal="right" wrapText="1"/>
    </xf>
    <xf numFmtId="165" fontId="4" fillId="3" borderId="7" xfId="0" applyNumberFormat="1" applyFont="1" applyFill="1" applyBorder="1" applyAlignment="1">
      <alignment horizontal="centerContinuous" vertical="center" wrapText="1"/>
    </xf>
    <xf numFmtId="165" fontId="4" fillId="3" borderId="5" xfId="0" applyNumberFormat="1" applyFont="1" applyFill="1" applyBorder="1" applyAlignment="1">
      <alignment horizontal="centerContinuous" vertical="center" wrapText="1"/>
    </xf>
    <xf numFmtId="165" fontId="4" fillId="3" borderId="6" xfId="0" applyNumberFormat="1" applyFont="1" applyFill="1" applyBorder="1" applyAlignment="1">
      <alignment horizontal="centerContinuous" vertical="center" wrapText="1"/>
    </xf>
    <xf numFmtId="165" fontId="5" fillId="3" borderId="3" xfId="2" applyNumberFormat="1" applyFont="1" applyFill="1" applyBorder="1"/>
    <xf numFmtId="165" fontId="5" fillId="3" borderId="19" xfId="2" applyNumberFormat="1" applyFont="1" applyFill="1" applyBorder="1"/>
    <xf numFmtId="165" fontId="2" fillId="2" borderId="0" xfId="0" applyNumberFormat="1" applyFont="1" applyFill="1" applyAlignment="1">
      <alignment vertical="top" wrapText="1"/>
    </xf>
    <xf numFmtId="165" fontId="4" fillId="3" borderId="0" xfId="0" applyNumberFormat="1" applyFont="1" applyFill="1" applyBorder="1" applyAlignment="1">
      <alignment horizontal="centerContinuous" vertical="center" wrapText="1"/>
    </xf>
    <xf numFmtId="165" fontId="4" fillId="3" borderId="0" xfId="0" applyNumberFormat="1" applyFont="1" applyFill="1" applyBorder="1" applyAlignment="1">
      <alignment horizontal="center" vertical="center" wrapText="1"/>
    </xf>
    <xf numFmtId="165" fontId="4" fillId="3" borderId="17" xfId="2" applyNumberFormat="1" applyFont="1" applyFill="1" applyBorder="1" applyAlignment="1">
      <alignment horizontal="right" wrapText="1"/>
    </xf>
    <xf numFmtId="165" fontId="10" fillId="3" borderId="14" xfId="2" applyNumberFormat="1" applyFont="1" applyFill="1" applyBorder="1"/>
    <xf numFmtId="165" fontId="4" fillId="3" borderId="0" xfId="1" applyNumberFormat="1" applyFont="1" applyFill="1" applyBorder="1"/>
    <xf numFmtId="165" fontId="4" fillId="3" borderId="0" xfId="2" applyNumberFormat="1" applyFont="1" applyFill="1" applyBorder="1"/>
    <xf numFmtId="165" fontId="5" fillId="3" borderId="0" xfId="1" applyNumberFormat="1" applyFont="1" applyFill="1" applyAlignment="1">
      <alignment horizontal="centerContinuous" vertical="center"/>
    </xf>
    <xf numFmtId="165" fontId="5" fillId="3" borderId="0" xfId="1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Continuous" vertical="center"/>
    </xf>
    <xf numFmtId="165" fontId="5" fillId="3" borderId="0" xfId="1" applyNumberFormat="1" applyFont="1" applyFill="1"/>
    <xf numFmtId="165" fontId="2" fillId="2" borderId="0" xfId="0" applyNumberFormat="1" applyFont="1" applyFill="1"/>
    <xf numFmtId="165" fontId="5" fillId="3" borderId="12" xfId="3" applyNumberFormat="1" applyFont="1" applyFill="1" applyBorder="1" applyAlignment="1">
      <alignment horizontal="right" wrapText="1"/>
    </xf>
    <xf numFmtId="165" fontId="4" fillId="3" borderId="12" xfId="3" applyNumberFormat="1" applyFont="1" applyFill="1" applyBorder="1" applyAlignment="1">
      <alignment horizontal="right" wrapText="1"/>
    </xf>
    <xf numFmtId="165" fontId="5" fillId="3" borderId="11" xfId="3" applyNumberFormat="1" applyFont="1" applyFill="1" applyBorder="1" applyAlignment="1">
      <alignment horizontal="right" wrapText="1"/>
    </xf>
    <xf numFmtId="0" fontId="1" fillId="2" borderId="0" xfId="0" applyFont="1" applyFill="1"/>
    <xf numFmtId="164" fontId="2" fillId="2" borderId="0" xfId="0" applyNumberFormat="1" applyFont="1" applyFill="1"/>
    <xf numFmtId="0" fontId="4" fillId="2" borderId="0" xfId="0" applyFont="1" applyFill="1"/>
    <xf numFmtId="164" fontId="4" fillId="2" borderId="0" xfId="2" applyFont="1" applyFill="1" applyAlignment="1">
      <alignment horizontal="center"/>
    </xf>
    <xf numFmtId="164" fontId="4" fillId="2" borderId="0" xfId="2" applyFont="1" applyFill="1" applyAlignment="1">
      <alignment horizontal="centerContinuous" vertical="center"/>
    </xf>
    <xf numFmtId="37" fontId="4" fillId="2" borderId="1" xfId="0" applyNumberFormat="1" applyFont="1" applyFill="1" applyBorder="1" applyAlignment="1">
      <alignment horizontal="right" wrapText="1"/>
    </xf>
    <xf numFmtId="39" fontId="4" fillId="2" borderId="1" xfId="0" applyNumberFormat="1" applyFont="1" applyFill="1" applyBorder="1" applyAlignment="1">
      <alignment horizontal="right" wrapText="1"/>
    </xf>
    <xf numFmtId="164" fontId="4" fillId="3" borderId="12" xfId="2" applyFont="1" applyFill="1" applyBorder="1" applyAlignment="1">
      <alignment horizontal="right" wrapText="1"/>
    </xf>
    <xf numFmtId="165" fontId="0" fillId="2" borderId="0" xfId="0" applyNumberFormat="1" applyFill="1"/>
    <xf numFmtId="164" fontId="0" fillId="2" borderId="0" xfId="2" applyFont="1" applyFill="1"/>
    <xf numFmtId="0" fontId="2" fillId="2" borderId="0" xfId="0" applyFont="1" applyFill="1" applyAlignment="1">
      <alignment vertical="top" wrapText="1"/>
    </xf>
  </cellXfs>
  <cellStyles count="4">
    <cellStyle name="Normal" xfId="0" builtinId="0"/>
    <cellStyle name="Normal_apae 2009 segragado" xfId="1"/>
    <cellStyle name="Separador de milhares 2" xfId="3"/>
    <cellStyle name="Vírgula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59"/>
  <sheetViews>
    <sheetView tabSelected="1" view="pageBreakPreview" topLeftCell="C8" zoomScaleNormal="100" zoomScaleSheetLayoutView="100" workbookViewId="0">
      <selection activeCell="K40" sqref="K40"/>
    </sheetView>
  </sheetViews>
  <sheetFormatPr defaultColWidth="32.85546875" defaultRowHeight="12" customHeight="1" x14ac:dyDescent="0.2"/>
  <cols>
    <col min="1" max="1" width="10.85546875" style="1" customWidth="1"/>
    <col min="2" max="2" width="56.140625" style="1" bestFit="1" customWidth="1"/>
    <col min="3" max="3" width="6.140625" style="1" customWidth="1"/>
    <col min="4" max="4" width="13" style="1" customWidth="1"/>
    <col min="5" max="5" width="14" style="1" customWidth="1"/>
    <col min="6" max="16384" width="32.85546875" style="1"/>
  </cols>
  <sheetData>
    <row r="2" spans="2:6" ht="12" customHeight="1" x14ac:dyDescent="0.2">
      <c r="B2" s="26" t="s">
        <v>181</v>
      </c>
      <c r="C2" s="26"/>
      <c r="D2" s="26"/>
      <c r="E2" s="26"/>
      <c r="F2" s="4"/>
    </row>
    <row r="3" spans="2:6" ht="12" customHeight="1" x14ac:dyDescent="0.2">
      <c r="B3" s="26" t="s">
        <v>56</v>
      </c>
      <c r="C3" s="26"/>
      <c r="D3" s="26"/>
      <c r="E3" s="26"/>
      <c r="F3" s="4"/>
    </row>
    <row r="4" spans="2:6" ht="12" customHeight="1" x14ac:dyDescent="0.2">
      <c r="B4" s="26"/>
      <c r="C4" s="26"/>
      <c r="D4" s="26"/>
      <c r="E4" s="26"/>
      <c r="F4" s="4"/>
    </row>
    <row r="5" spans="2:6" ht="12" customHeight="1" x14ac:dyDescent="0.2">
      <c r="B5" s="26" t="s">
        <v>5</v>
      </c>
      <c r="C5" s="26"/>
      <c r="D5" s="26"/>
      <c r="E5" s="26"/>
      <c r="F5" s="4"/>
    </row>
    <row r="6" spans="2:6" ht="12" customHeight="1" x14ac:dyDescent="0.2">
      <c r="B6" s="33"/>
      <c r="C6" s="33"/>
      <c r="D6" s="33"/>
      <c r="E6" s="33"/>
      <c r="F6" s="4"/>
    </row>
    <row r="7" spans="2:6" ht="12" customHeight="1" x14ac:dyDescent="0.2">
      <c r="B7" s="26" t="s">
        <v>0</v>
      </c>
      <c r="C7" s="26"/>
      <c r="D7" s="26"/>
      <c r="E7" s="26"/>
      <c r="F7" s="4"/>
    </row>
    <row r="8" spans="2:6" ht="12" customHeight="1" x14ac:dyDescent="0.2">
      <c r="B8" s="25"/>
      <c r="C8" s="25"/>
      <c r="D8" s="25"/>
      <c r="E8" s="25"/>
    </row>
    <row r="9" spans="2:6" ht="12" customHeight="1" x14ac:dyDescent="0.2">
      <c r="B9" s="22" t="s">
        <v>21</v>
      </c>
      <c r="C9" s="23"/>
      <c r="D9" s="23">
        <v>2012</v>
      </c>
      <c r="E9" s="24">
        <v>2011</v>
      </c>
    </row>
    <row r="10" spans="2:6" ht="12" customHeight="1" x14ac:dyDescent="0.2">
      <c r="B10" s="22" t="s">
        <v>22</v>
      </c>
      <c r="C10" s="24"/>
      <c r="D10" s="61">
        <f>D11+D16</f>
        <v>19154.78</v>
      </c>
      <c r="E10" s="61">
        <f>E11+E16</f>
        <v>12859.11</v>
      </c>
    </row>
    <row r="11" spans="2:6" ht="12" customHeight="1" x14ac:dyDescent="0.2">
      <c r="B11" s="30" t="s">
        <v>23</v>
      </c>
      <c r="C11" s="31"/>
      <c r="D11" s="62">
        <f>SUM(D12:D15)</f>
        <v>16177.24</v>
      </c>
      <c r="E11" s="62">
        <f>SUM(E12:E15)</f>
        <v>12464.99</v>
      </c>
    </row>
    <row r="12" spans="2:6" ht="12" customHeight="1" x14ac:dyDescent="0.2">
      <c r="B12" s="28" t="s">
        <v>71</v>
      </c>
      <c r="C12" s="32"/>
      <c r="D12" s="63">
        <f>3659.47+150</f>
        <v>3809.47</v>
      </c>
      <c r="E12" s="63">
        <v>1824.63</v>
      </c>
    </row>
    <row r="13" spans="2:6" ht="12" customHeight="1" x14ac:dyDescent="0.2">
      <c r="B13" s="28" t="s">
        <v>72</v>
      </c>
      <c r="C13" s="32"/>
      <c r="D13" s="63">
        <v>10</v>
      </c>
      <c r="E13" s="63">
        <v>3019.44</v>
      </c>
    </row>
    <row r="14" spans="2:6" ht="12" customHeight="1" x14ac:dyDescent="0.2">
      <c r="B14" s="28" t="s">
        <v>73</v>
      </c>
      <c r="C14" s="32"/>
      <c r="D14" s="63">
        <v>7490.63</v>
      </c>
      <c r="E14" s="63">
        <v>7620.92</v>
      </c>
    </row>
    <row r="15" spans="2:6" ht="12" customHeight="1" x14ac:dyDescent="0.2">
      <c r="B15" s="28" t="s">
        <v>74</v>
      </c>
      <c r="C15" s="32"/>
      <c r="D15" s="63">
        <f>1914.15+2952.99</f>
        <v>4867.1399999999994</v>
      </c>
      <c r="E15" s="63">
        <v>0</v>
      </c>
      <c r="F15" s="86"/>
    </row>
    <row r="16" spans="2:6" ht="12" customHeight="1" x14ac:dyDescent="0.2">
      <c r="B16" s="29" t="s">
        <v>24</v>
      </c>
      <c r="C16" s="32"/>
      <c r="D16" s="62">
        <f>SUM(D17:D19)</f>
        <v>2977.54</v>
      </c>
      <c r="E16" s="62">
        <f>SUM(E17:E19)</f>
        <v>394.12</v>
      </c>
    </row>
    <row r="17" spans="2:5" ht="12" customHeight="1" x14ac:dyDescent="0.2">
      <c r="B17" s="28" t="s">
        <v>173</v>
      </c>
      <c r="C17" s="32"/>
      <c r="D17" s="63"/>
      <c r="E17" s="63"/>
    </row>
    <row r="18" spans="2:5" ht="12" customHeight="1" x14ac:dyDescent="0.2">
      <c r="B18" s="28" t="s">
        <v>25</v>
      </c>
      <c r="C18" s="32"/>
      <c r="D18" s="63">
        <v>577.54</v>
      </c>
      <c r="E18" s="63">
        <v>394.12</v>
      </c>
    </row>
    <row r="19" spans="2:5" ht="12" customHeight="1" x14ac:dyDescent="0.2">
      <c r="B19" s="28" t="s">
        <v>75</v>
      </c>
      <c r="C19" s="32"/>
      <c r="D19" s="63">
        <v>2400</v>
      </c>
      <c r="E19" s="63">
        <v>0</v>
      </c>
    </row>
    <row r="20" spans="2:5" ht="12" customHeight="1" x14ac:dyDescent="0.2">
      <c r="B20" s="22" t="s">
        <v>26</v>
      </c>
      <c r="C20" s="24"/>
      <c r="D20" s="61">
        <f>SUM(D21,D27)</f>
        <v>22493.260000000002</v>
      </c>
      <c r="E20" s="61">
        <f t="shared" ref="E20" si="0">SUM(E21,E27)</f>
        <v>27165.72</v>
      </c>
    </row>
    <row r="21" spans="2:5" ht="12" customHeight="1" x14ac:dyDescent="0.2">
      <c r="B21" s="29" t="s">
        <v>27</v>
      </c>
      <c r="C21" s="31"/>
      <c r="D21" s="62">
        <f>SUM(D22:D26)</f>
        <v>36153.410000000003</v>
      </c>
      <c r="E21" s="62">
        <f t="shared" ref="E21" si="1">SUM(E22:E26)</f>
        <v>41367.61</v>
      </c>
    </row>
    <row r="22" spans="2:5" ht="12" customHeight="1" x14ac:dyDescent="0.2">
      <c r="B22" s="28" t="s">
        <v>28</v>
      </c>
      <c r="C22" s="32"/>
      <c r="D22" s="63">
        <v>3395.6</v>
      </c>
      <c r="E22" s="63">
        <v>3395.6</v>
      </c>
    </row>
    <row r="23" spans="2:5" ht="12" customHeight="1" x14ac:dyDescent="0.2">
      <c r="B23" s="28" t="s">
        <v>29</v>
      </c>
      <c r="C23" s="32"/>
      <c r="D23" s="63">
        <v>1260</v>
      </c>
      <c r="E23" s="63">
        <v>1260</v>
      </c>
    </row>
    <row r="24" spans="2:5" ht="12" customHeight="1" x14ac:dyDescent="0.2">
      <c r="B24" s="28" t="s">
        <v>30</v>
      </c>
      <c r="C24" s="32"/>
      <c r="D24" s="63">
        <v>1368.99</v>
      </c>
      <c r="E24" s="63">
        <v>379.99</v>
      </c>
    </row>
    <row r="25" spans="2:5" ht="12" customHeight="1" x14ac:dyDescent="0.2">
      <c r="B25" s="28" t="s">
        <v>31</v>
      </c>
      <c r="C25" s="32"/>
      <c r="D25" s="63">
        <v>16128.82</v>
      </c>
      <c r="E25" s="63">
        <v>14832.02</v>
      </c>
    </row>
    <row r="26" spans="2:5" ht="12" customHeight="1" x14ac:dyDescent="0.2">
      <c r="B26" s="28" t="s">
        <v>32</v>
      </c>
      <c r="C26" s="32"/>
      <c r="D26" s="63">
        <v>14000</v>
      </c>
      <c r="E26" s="63">
        <v>21500</v>
      </c>
    </row>
    <row r="27" spans="2:5" ht="12" customHeight="1" x14ac:dyDescent="0.2">
      <c r="B27" s="28" t="s">
        <v>33</v>
      </c>
      <c r="C27" s="32"/>
      <c r="D27" s="63">
        <v>-13660.15</v>
      </c>
      <c r="E27" s="63">
        <v>-14201.89</v>
      </c>
    </row>
    <row r="28" spans="2:5" ht="12" customHeight="1" x14ac:dyDescent="0.2">
      <c r="B28" s="22" t="s">
        <v>34</v>
      </c>
      <c r="C28" s="24"/>
      <c r="D28" s="61">
        <f>D10+D20</f>
        <v>41648.04</v>
      </c>
      <c r="E28" s="61">
        <f>E10+E20</f>
        <v>40024.83</v>
      </c>
    </row>
    <row r="29" spans="2:5" ht="12" customHeight="1" x14ac:dyDescent="0.2">
      <c r="B29" s="25"/>
      <c r="C29" s="25"/>
      <c r="D29" s="65"/>
      <c r="E29" s="65"/>
    </row>
    <row r="30" spans="2:5" ht="12" customHeight="1" x14ac:dyDescent="0.2">
      <c r="B30" s="22" t="s">
        <v>35</v>
      </c>
      <c r="C30" s="23"/>
      <c r="D30" s="66">
        <v>2012</v>
      </c>
      <c r="E30" s="67">
        <v>2011</v>
      </c>
    </row>
    <row r="31" spans="2:5" ht="12" customHeight="1" x14ac:dyDescent="0.2">
      <c r="B31" s="22" t="s">
        <v>36</v>
      </c>
      <c r="C31" s="24"/>
      <c r="D31" s="61">
        <f>SUM(D32:D39)</f>
        <v>44493.900000000009</v>
      </c>
      <c r="E31" s="61">
        <f t="shared" ref="E31" si="2">SUM(E32:E39)</f>
        <v>46272.67</v>
      </c>
    </row>
    <row r="32" spans="2:5" ht="12" customHeight="1" x14ac:dyDescent="0.2">
      <c r="B32" s="28" t="s">
        <v>182</v>
      </c>
      <c r="C32" s="26"/>
      <c r="D32" s="63">
        <v>307.85000000000002</v>
      </c>
      <c r="E32" s="63">
        <v>4142.6499999999996</v>
      </c>
    </row>
    <row r="33" spans="2:5" ht="12" customHeight="1" x14ac:dyDescent="0.2">
      <c r="B33" s="28" t="s">
        <v>52</v>
      </c>
      <c r="C33" s="32"/>
      <c r="D33" s="63">
        <v>0</v>
      </c>
      <c r="E33" s="63">
        <v>0</v>
      </c>
    </row>
    <row r="34" spans="2:5" ht="12" customHeight="1" x14ac:dyDescent="0.2">
      <c r="B34" s="28" t="s">
        <v>174</v>
      </c>
      <c r="C34" s="26"/>
      <c r="D34" s="63"/>
      <c r="E34" s="63">
        <f>2081+12168+1200</f>
        <v>15449</v>
      </c>
    </row>
    <row r="35" spans="2:5" ht="12" customHeight="1" x14ac:dyDescent="0.2">
      <c r="B35" s="28" t="s">
        <v>175</v>
      </c>
      <c r="C35" s="26"/>
      <c r="D35" s="63">
        <v>6166.39</v>
      </c>
      <c r="E35" s="63">
        <v>6719.79</v>
      </c>
    </row>
    <row r="36" spans="2:5" ht="12" customHeight="1" x14ac:dyDescent="0.2">
      <c r="B36" s="28" t="s">
        <v>176</v>
      </c>
      <c r="C36" s="26"/>
      <c r="D36" s="63">
        <v>63.24</v>
      </c>
      <c r="E36" s="63"/>
    </row>
    <row r="37" spans="2:5" ht="12" customHeight="1" x14ac:dyDescent="0.2">
      <c r="B37" s="28" t="s">
        <v>177</v>
      </c>
      <c r="C37" s="26"/>
      <c r="D37" s="63">
        <v>232.62</v>
      </c>
      <c r="E37" s="63">
        <v>417.61</v>
      </c>
    </row>
    <row r="38" spans="2:5" ht="12" customHeight="1" x14ac:dyDescent="0.2">
      <c r="B38" s="28" t="s">
        <v>178</v>
      </c>
      <c r="C38" s="26"/>
      <c r="D38" s="63">
        <v>32801.29</v>
      </c>
      <c r="E38" s="63">
        <v>19543.62</v>
      </c>
    </row>
    <row r="39" spans="2:5" ht="12" customHeight="1" x14ac:dyDescent="0.2">
      <c r="B39" s="49" t="s">
        <v>180</v>
      </c>
      <c r="C39" s="32"/>
      <c r="D39" s="62">
        <f>SUM(D40:D41)</f>
        <v>4922.5100000000093</v>
      </c>
      <c r="E39" s="62">
        <v>0</v>
      </c>
    </row>
    <row r="40" spans="2:5" ht="12" customHeight="1" x14ac:dyDescent="0.2">
      <c r="B40" s="28" t="s">
        <v>53</v>
      </c>
      <c r="C40" s="32"/>
      <c r="D40" s="63">
        <v>280111.62</v>
      </c>
      <c r="E40" s="63">
        <v>0</v>
      </c>
    </row>
    <row r="41" spans="2:5" ht="12" customHeight="1" x14ac:dyDescent="0.2">
      <c r="B41" s="28" t="s">
        <v>54</v>
      </c>
      <c r="C41" s="32"/>
      <c r="D41" s="63">
        <v>-275189.11</v>
      </c>
      <c r="E41" s="63">
        <v>0</v>
      </c>
    </row>
    <row r="42" spans="2:5" ht="12" customHeight="1" x14ac:dyDescent="0.2">
      <c r="B42" s="22" t="s">
        <v>37</v>
      </c>
      <c r="C42" s="24"/>
      <c r="D42" s="61">
        <f>SUM(D43:D43)</f>
        <v>0</v>
      </c>
      <c r="E42" s="61">
        <f>SUM(E43:E43)</f>
        <v>0</v>
      </c>
    </row>
    <row r="43" spans="2:5" ht="12" customHeight="1" x14ac:dyDescent="0.2">
      <c r="B43" s="13" t="s">
        <v>38</v>
      </c>
      <c r="C43" s="14"/>
      <c r="D43" s="68">
        <v>0</v>
      </c>
      <c r="E43" s="69">
        <v>0</v>
      </c>
    </row>
    <row r="44" spans="2:5" ht="12" customHeight="1" x14ac:dyDescent="0.2">
      <c r="B44" s="22" t="s">
        <v>179</v>
      </c>
      <c r="C44" s="24"/>
      <c r="D44" s="61">
        <f>SUM(D45:D46)</f>
        <v>-2846.02</v>
      </c>
      <c r="E44" s="61">
        <f>SUM(E45:E46)</f>
        <v>-6248.18</v>
      </c>
    </row>
    <row r="45" spans="2:5" ht="12" customHeight="1" x14ac:dyDescent="0.2">
      <c r="B45" s="28" t="s">
        <v>188</v>
      </c>
      <c r="C45" s="26"/>
      <c r="D45" s="62">
        <v>-6248</v>
      </c>
      <c r="E45" s="62">
        <v>33726</v>
      </c>
    </row>
    <row r="46" spans="2:5" ht="12" customHeight="1" x14ac:dyDescent="0.2">
      <c r="B46" s="28" t="s">
        <v>76</v>
      </c>
      <c r="C46" s="32"/>
      <c r="D46" s="63">
        <v>3401.98</v>
      </c>
      <c r="E46" s="62">
        <v>-39974.18</v>
      </c>
    </row>
    <row r="47" spans="2:5" ht="12" customHeight="1" x14ac:dyDescent="0.2">
      <c r="B47" s="22" t="s">
        <v>39</v>
      </c>
      <c r="C47" s="24"/>
      <c r="D47" s="61">
        <f>D31+D42+D44</f>
        <v>41647.880000000012</v>
      </c>
      <c r="E47" s="61">
        <f>E31+E42+E44</f>
        <v>40024.49</v>
      </c>
    </row>
    <row r="48" spans="2:5" ht="12" customHeight="1" x14ac:dyDescent="0.2">
      <c r="B48" s="15"/>
      <c r="C48" s="15"/>
      <c r="D48" s="48"/>
      <c r="E48" s="16"/>
    </row>
    <row r="49" spans="2:10" ht="12" customHeight="1" x14ac:dyDescent="0.2">
      <c r="B49" s="15"/>
      <c r="C49" s="15"/>
      <c r="D49" s="15"/>
      <c r="E49" s="16"/>
      <c r="J49" s="5"/>
    </row>
    <row r="50" spans="2:10" ht="12" customHeight="1" x14ac:dyDescent="0.2">
      <c r="B50" s="17" t="s">
        <v>55</v>
      </c>
      <c r="C50" s="17"/>
      <c r="D50" s="17"/>
      <c r="E50" s="17"/>
      <c r="J50" s="5"/>
    </row>
    <row r="51" spans="2:10" ht="12" customHeight="1" x14ac:dyDescent="0.2">
      <c r="B51" s="18"/>
      <c r="C51" s="18"/>
      <c r="D51" s="18"/>
      <c r="E51" s="18"/>
      <c r="J51" s="5"/>
    </row>
    <row r="52" spans="2:10" ht="12" customHeight="1" x14ac:dyDescent="0.2">
      <c r="B52" s="18"/>
      <c r="C52" s="18"/>
      <c r="D52" s="18"/>
      <c r="E52" s="18"/>
    </row>
    <row r="53" spans="2:10" ht="12" customHeight="1" x14ac:dyDescent="0.2">
      <c r="B53" s="18"/>
      <c r="C53" s="18"/>
      <c r="D53" s="18"/>
      <c r="E53" s="18"/>
    </row>
    <row r="54" spans="2:10" ht="12" customHeight="1" x14ac:dyDescent="0.2">
      <c r="B54" s="5" t="s">
        <v>183</v>
      </c>
      <c r="C54" s="5"/>
      <c r="D54" s="7" t="s">
        <v>185</v>
      </c>
      <c r="E54" s="7"/>
      <c r="F54" s="5"/>
    </row>
    <row r="55" spans="2:10" ht="12" customHeight="1" x14ac:dyDescent="0.2">
      <c r="B55" s="5" t="s">
        <v>4</v>
      </c>
      <c r="C55" s="5"/>
      <c r="D55" s="89" t="s">
        <v>186</v>
      </c>
      <c r="E55" s="89"/>
      <c r="F55" s="88"/>
    </row>
    <row r="56" spans="2:10" ht="12" customHeight="1" x14ac:dyDescent="0.2">
      <c r="B56" s="5" t="s">
        <v>184</v>
      </c>
      <c r="C56" s="87"/>
      <c r="D56" s="89" t="s">
        <v>187</v>
      </c>
      <c r="E56" s="89"/>
      <c r="F56" s="88"/>
    </row>
    <row r="57" spans="2:10" ht="12" customHeight="1" x14ac:dyDescent="0.2">
      <c r="B57" s="5"/>
      <c r="C57" s="19"/>
      <c r="D57" s="19"/>
      <c r="E57" s="5"/>
    </row>
    <row r="58" spans="2:10" ht="12" customHeight="1" x14ac:dyDescent="0.2">
      <c r="B58" s="5"/>
      <c r="C58" s="19"/>
      <c r="D58" s="19"/>
      <c r="E58" s="5"/>
    </row>
    <row r="59" spans="2:10" ht="12" customHeight="1" x14ac:dyDescent="0.2">
      <c r="B59" s="5"/>
      <c r="C59" s="19"/>
      <c r="D59" s="19"/>
      <c r="E59" s="5"/>
    </row>
  </sheetData>
  <phoneticPr fontId="2" type="noConversion"/>
  <printOptions horizontalCentered="1"/>
  <pageMargins left="0.59055118110236227" right="0.59055118110236227" top="1.7716535433070868" bottom="0.6692913385826772" header="0.51181102362204722" footer="0.51181102362204722"/>
  <pageSetup paperSize="9" orientation="portrait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55"/>
  <sheetViews>
    <sheetView tabSelected="1" view="pageBreakPreview" topLeftCell="A10" zoomScaleNormal="100" zoomScaleSheetLayoutView="100" workbookViewId="0">
      <selection activeCell="K40" sqref="K40"/>
    </sheetView>
  </sheetViews>
  <sheetFormatPr defaultRowHeight="11.25" x14ac:dyDescent="0.2"/>
  <cols>
    <col min="1" max="1" width="3.7109375" style="1" customWidth="1"/>
    <col min="2" max="2" width="47.85546875" style="1" customWidth="1"/>
    <col min="3" max="3" width="10.28515625" style="1" customWidth="1"/>
    <col min="4" max="4" width="2.85546875" style="1" customWidth="1"/>
    <col min="5" max="6" width="11.85546875" style="81" bestFit="1" customWidth="1"/>
    <col min="7" max="7" width="15.5703125" style="1" hidden="1" customWidth="1"/>
    <col min="8" max="16384" width="9.140625" style="1"/>
  </cols>
  <sheetData>
    <row r="1" spans="2:8" x14ac:dyDescent="0.2">
      <c r="B1" s="47"/>
      <c r="C1" s="47"/>
      <c r="D1" s="47"/>
      <c r="E1" s="70"/>
      <c r="F1" s="70"/>
      <c r="G1" s="47"/>
    </row>
    <row r="2" spans="2:8" x14ac:dyDescent="0.2">
      <c r="B2" s="26" t="s">
        <v>181</v>
      </c>
      <c r="C2" s="26"/>
      <c r="D2" s="26"/>
      <c r="E2" s="26"/>
      <c r="F2" s="71"/>
      <c r="G2" s="26"/>
      <c r="H2" s="6"/>
    </row>
    <row r="3" spans="2:8" x14ac:dyDescent="0.2">
      <c r="B3" s="26" t="s">
        <v>56</v>
      </c>
      <c r="C3" s="26"/>
      <c r="D3" s="26"/>
      <c r="E3" s="26"/>
      <c r="F3" s="71"/>
      <c r="G3" s="26"/>
      <c r="H3" s="6"/>
    </row>
    <row r="4" spans="2:8" x14ac:dyDescent="0.2">
      <c r="B4" s="26"/>
      <c r="C4" s="26"/>
      <c r="D4" s="26"/>
      <c r="E4" s="71"/>
      <c r="F4" s="71"/>
      <c r="G4" s="26"/>
      <c r="H4" s="6"/>
    </row>
    <row r="5" spans="2:8" x14ac:dyDescent="0.2">
      <c r="B5" s="26" t="s">
        <v>49</v>
      </c>
      <c r="C5" s="26"/>
      <c r="D5" s="26"/>
      <c r="E5" s="71"/>
      <c r="F5" s="71"/>
      <c r="G5" s="26"/>
      <c r="H5" s="6"/>
    </row>
    <row r="6" spans="2:8" x14ac:dyDescent="0.2">
      <c r="B6" s="33"/>
      <c r="C6" s="33"/>
      <c r="D6" s="33"/>
      <c r="E6" s="72"/>
      <c r="F6" s="72"/>
      <c r="G6" s="33"/>
      <c r="H6" s="6"/>
    </row>
    <row r="7" spans="2:8" x14ac:dyDescent="0.2">
      <c r="B7" s="26" t="s">
        <v>0</v>
      </c>
      <c r="C7" s="26"/>
      <c r="D7" s="26"/>
      <c r="E7" s="71"/>
      <c r="F7" s="71"/>
      <c r="G7" s="26"/>
      <c r="H7" s="6"/>
    </row>
    <row r="8" spans="2:8" x14ac:dyDescent="0.2">
      <c r="B8" s="26"/>
      <c r="C8" s="26"/>
      <c r="D8" s="26"/>
      <c r="E8" s="71"/>
      <c r="F8" s="71"/>
      <c r="G8" s="26"/>
      <c r="H8" s="6"/>
    </row>
    <row r="9" spans="2:8" x14ac:dyDescent="0.2">
      <c r="B9" s="26"/>
      <c r="C9" s="26"/>
      <c r="D9" s="26"/>
      <c r="E9" s="71"/>
      <c r="F9" s="71"/>
      <c r="G9" s="26"/>
      <c r="H9" s="6"/>
    </row>
    <row r="10" spans="2:8" x14ac:dyDescent="0.2">
      <c r="B10" s="22"/>
      <c r="C10" s="23"/>
      <c r="D10" s="23"/>
      <c r="E10" s="66">
        <v>2012</v>
      </c>
      <c r="F10" s="67">
        <v>2011</v>
      </c>
      <c r="G10" s="24">
        <v>2010</v>
      </c>
    </row>
    <row r="11" spans="2:8" x14ac:dyDescent="0.2">
      <c r="B11" s="22" t="s">
        <v>57</v>
      </c>
      <c r="C11" s="23"/>
      <c r="D11" s="24"/>
      <c r="E11" s="61">
        <f>E12+E17</f>
        <v>553771.35</v>
      </c>
      <c r="F11" s="61">
        <f>F12+F17</f>
        <v>427643.55999999994</v>
      </c>
      <c r="G11" s="34" t="e">
        <f>G12+#REF!+#REF!</f>
        <v>#REF!</v>
      </c>
    </row>
    <row r="12" spans="2:8" x14ac:dyDescent="0.2">
      <c r="B12" s="30" t="s">
        <v>40</v>
      </c>
      <c r="C12" s="45"/>
      <c r="D12" s="31"/>
      <c r="E12" s="73">
        <f>SUM(E13:E16)</f>
        <v>299952.11</v>
      </c>
      <c r="F12" s="73">
        <f>SUM(F13:F16)</f>
        <v>239960.83</v>
      </c>
      <c r="G12" s="42">
        <f>SUM(G14:G24)</f>
        <v>789678.4</v>
      </c>
    </row>
    <row r="13" spans="2:8" x14ac:dyDescent="0.2">
      <c r="B13" s="29" t="s">
        <v>66</v>
      </c>
      <c r="C13" s="50"/>
      <c r="D13" s="32"/>
      <c r="E13" s="62"/>
      <c r="F13" s="62"/>
      <c r="G13" s="35"/>
    </row>
    <row r="14" spans="2:8" ht="11.25" customHeight="1" x14ac:dyDescent="0.2">
      <c r="B14" s="28" t="s">
        <v>77</v>
      </c>
      <c r="C14" s="32"/>
      <c r="D14" s="32"/>
      <c r="E14" s="63">
        <v>299952.11</v>
      </c>
      <c r="F14" s="63">
        <f>219960.83+20000</f>
        <v>239960.83</v>
      </c>
      <c r="G14" s="36">
        <v>168000</v>
      </c>
    </row>
    <row r="15" spans="2:8" ht="11.25" customHeight="1" x14ac:dyDescent="0.2">
      <c r="B15" s="28"/>
      <c r="C15" s="32"/>
      <c r="D15" s="32"/>
      <c r="E15" s="63"/>
      <c r="F15" s="63"/>
      <c r="G15" s="36"/>
    </row>
    <row r="16" spans="2:8" ht="11.25" customHeight="1" x14ac:dyDescent="0.2">
      <c r="B16" s="28"/>
      <c r="C16" s="32"/>
      <c r="D16" s="32"/>
      <c r="E16" s="63"/>
      <c r="F16" s="63"/>
      <c r="G16" s="36"/>
    </row>
    <row r="17" spans="2:7" ht="11.25" customHeight="1" x14ac:dyDescent="0.2">
      <c r="B17" s="29" t="s">
        <v>67</v>
      </c>
      <c r="C17" s="32"/>
      <c r="D17" s="32"/>
      <c r="E17" s="62">
        <f>SUM(E18:E24)</f>
        <v>253819.24</v>
      </c>
      <c r="F17" s="62">
        <f>SUM(F18:F24)</f>
        <v>187682.72999999998</v>
      </c>
      <c r="G17" s="36"/>
    </row>
    <row r="18" spans="2:7" ht="11.25" customHeight="1" x14ac:dyDescent="0.2">
      <c r="B18" s="28" t="s">
        <v>78</v>
      </c>
      <c r="C18" s="32"/>
      <c r="D18" s="32"/>
      <c r="E18" s="63">
        <v>154906.85</v>
      </c>
      <c r="F18" s="63">
        <v>166995.74</v>
      </c>
      <c r="G18" s="36">
        <f>20050.25+17991.25</f>
        <v>38041.5</v>
      </c>
    </row>
    <row r="19" spans="2:7" ht="11.25" customHeight="1" x14ac:dyDescent="0.2">
      <c r="B19" s="28" t="s">
        <v>191</v>
      </c>
      <c r="C19" s="32"/>
      <c r="D19" s="32"/>
      <c r="E19" s="63">
        <v>5460</v>
      </c>
      <c r="F19" s="63"/>
      <c r="G19" s="36"/>
    </row>
    <row r="20" spans="2:7" x14ac:dyDescent="0.2">
      <c r="B20" s="28" t="s">
        <v>41</v>
      </c>
      <c r="C20" s="32"/>
      <c r="D20" s="32"/>
      <c r="E20" s="63">
        <v>34641.94</v>
      </c>
      <c r="F20" s="63">
        <f>16763.32+1749</f>
        <v>18512.32</v>
      </c>
      <c r="G20" s="36">
        <v>559127.4</v>
      </c>
    </row>
    <row r="21" spans="2:7" x14ac:dyDescent="0.2">
      <c r="B21" s="28" t="s">
        <v>189</v>
      </c>
      <c r="C21" s="32"/>
      <c r="D21" s="32"/>
      <c r="E21" s="63">
        <v>54205.46</v>
      </c>
      <c r="F21" s="63">
        <v>236.93</v>
      </c>
      <c r="G21" s="36"/>
    </row>
    <row r="22" spans="2:7" x14ac:dyDescent="0.2">
      <c r="B22" s="28" t="s">
        <v>42</v>
      </c>
      <c r="C22" s="32"/>
      <c r="D22" s="32"/>
      <c r="E22" s="63">
        <v>104.99</v>
      </c>
      <c r="F22" s="63">
        <v>1937.74</v>
      </c>
      <c r="G22" s="36">
        <v>24509.5</v>
      </c>
    </row>
    <row r="23" spans="2:7" x14ac:dyDescent="0.2">
      <c r="B23" s="28" t="s">
        <v>190</v>
      </c>
      <c r="C23" s="32"/>
      <c r="D23" s="32"/>
      <c r="E23" s="63">
        <v>4500</v>
      </c>
      <c r="F23" s="63">
        <v>0</v>
      </c>
      <c r="G23" s="36"/>
    </row>
    <row r="24" spans="2:7" x14ac:dyDescent="0.2">
      <c r="B24" s="39"/>
      <c r="C24" s="40"/>
      <c r="D24" s="40"/>
      <c r="E24" s="64"/>
      <c r="F24" s="64"/>
      <c r="G24" s="41"/>
    </row>
    <row r="25" spans="2:7" x14ac:dyDescent="0.2">
      <c r="B25" s="22" t="s">
        <v>43</v>
      </c>
      <c r="C25" s="23"/>
      <c r="D25" s="24"/>
      <c r="E25" s="61">
        <f>E27+E36</f>
        <v>550369.37000000011</v>
      </c>
      <c r="F25" s="61">
        <f>F27+F36</f>
        <v>467617.74</v>
      </c>
      <c r="G25" s="34" t="e">
        <f>G26+#REF!+#REF!</f>
        <v>#REF!</v>
      </c>
    </row>
    <row r="26" spans="2:7" x14ac:dyDescent="0.2">
      <c r="B26" s="29" t="s">
        <v>60</v>
      </c>
      <c r="C26" s="32"/>
      <c r="D26" s="32"/>
      <c r="E26" s="63"/>
      <c r="F26" s="63"/>
      <c r="G26" s="36"/>
    </row>
    <row r="27" spans="2:7" ht="12.75" x14ac:dyDescent="0.3">
      <c r="B27" s="51" t="s">
        <v>80</v>
      </c>
      <c r="C27" s="46"/>
      <c r="D27" s="37"/>
      <c r="E27" s="74">
        <f>SUM(E28:E33)</f>
        <v>262034.37</v>
      </c>
      <c r="F27" s="74">
        <f>SUM(F28:F33)</f>
        <v>282306.28000000003</v>
      </c>
      <c r="G27" s="38">
        <f>SUM(G28:G45)</f>
        <v>32626.22000000003</v>
      </c>
    </row>
    <row r="28" spans="2:7" x14ac:dyDescent="0.2">
      <c r="B28" s="28" t="s">
        <v>81</v>
      </c>
      <c r="C28" s="32"/>
      <c r="D28" s="32"/>
      <c r="E28" s="63">
        <f>149186.58+13497.3+48136.31+13257.67</f>
        <v>224077.86</v>
      </c>
      <c r="F28" s="63">
        <f>282306.28-2080-5255.64</f>
        <v>274970.64</v>
      </c>
      <c r="G28" s="36"/>
    </row>
    <row r="29" spans="2:7" x14ac:dyDescent="0.2">
      <c r="B29" s="28" t="s">
        <v>44</v>
      </c>
      <c r="C29" s="32"/>
      <c r="D29" s="32"/>
      <c r="E29" s="63">
        <v>8509.67</v>
      </c>
      <c r="F29" s="63">
        <v>2080</v>
      </c>
      <c r="G29" s="36"/>
    </row>
    <row r="30" spans="2:7" x14ac:dyDescent="0.2">
      <c r="B30" s="28" t="s">
        <v>59</v>
      </c>
      <c r="C30" s="32"/>
      <c r="D30" s="32"/>
      <c r="E30" s="63">
        <v>3738.04</v>
      </c>
      <c r="F30" s="63">
        <v>5255.64</v>
      </c>
      <c r="G30" s="36"/>
    </row>
    <row r="31" spans="2:7" x14ac:dyDescent="0.2">
      <c r="B31" s="28" t="s">
        <v>45</v>
      </c>
      <c r="C31" s="32"/>
      <c r="D31" s="32"/>
      <c r="E31" s="63">
        <v>25708.799999999999</v>
      </c>
      <c r="F31" s="63">
        <v>0</v>
      </c>
      <c r="G31" s="36"/>
    </row>
    <row r="32" spans="2:7" x14ac:dyDescent="0.2">
      <c r="B32" s="28" t="s">
        <v>79</v>
      </c>
      <c r="C32" s="32"/>
      <c r="D32" s="32"/>
      <c r="E32" s="63">
        <v>0</v>
      </c>
      <c r="F32" s="63">
        <v>0</v>
      </c>
      <c r="G32" s="36"/>
    </row>
    <row r="33" spans="2:7" x14ac:dyDescent="0.2">
      <c r="B33" s="28"/>
      <c r="C33" s="32"/>
      <c r="D33" s="32"/>
      <c r="E33" s="63"/>
      <c r="F33" s="63"/>
      <c r="G33" s="36"/>
    </row>
    <row r="34" spans="2:7" x14ac:dyDescent="0.2">
      <c r="B34" s="22" t="s">
        <v>58</v>
      </c>
      <c r="C34" s="23"/>
      <c r="D34" s="24"/>
      <c r="E34" s="61">
        <f>E11-E27</f>
        <v>291736.98</v>
      </c>
      <c r="F34" s="61">
        <f>F11-F27</f>
        <v>145337.27999999991</v>
      </c>
      <c r="G34" s="36"/>
    </row>
    <row r="35" spans="2:7" x14ac:dyDescent="0.2">
      <c r="B35" s="29" t="s">
        <v>61</v>
      </c>
      <c r="C35" s="32"/>
      <c r="D35" s="32"/>
      <c r="E35" s="63"/>
      <c r="F35" s="63"/>
      <c r="G35" s="36"/>
    </row>
    <row r="36" spans="2:7" ht="12.75" x14ac:dyDescent="0.3">
      <c r="B36" s="51" t="s">
        <v>80</v>
      </c>
      <c r="C36" s="46"/>
      <c r="D36" s="37"/>
      <c r="E36" s="74">
        <f>SUM(E37:E45)</f>
        <v>288335.00000000006</v>
      </c>
      <c r="F36" s="74">
        <f>SUM(F37:F45)</f>
        <v>185311.46</v>
      </c>
      <c r="G36" s="36"/>
    </row>
    <row r="37" spans="2:7" x14ac:dyDescent="0.2">
      <c r="B37" s="28" t="s">
        <v>81</v>
      </c>
      <c r="C37" s="32"/>
      <c r="D37" s="32"/>
      <c r="E37" s="63">
        <f>71103.28+31370.08</f>
        <v>102473.36</v>
      </c>
      <c r="F37" s="63">
        <v>2000</v>
      </c>
      <c r="G37" s="36"/>
    </row>
    <row r="38" spans="2:7" x14ac:dyDescent="0.2">
      <c r="B38" s="28" t="s">
        <v>44</v>
      </c>
      <c r="C38" s="32"/>
      <c r="D38" s="32"/>
      <c r="E38" s="63">
        <v>0</v>
      </c>
      <c r="F38" s="63">
        <v>745</v>
      </c>
      <c r="G38" s="36"/>
    </row>
    <row r="39" spans="2:7" x14ac:dyDescent="0.2">
      <c r="B39" s="28" t="s">
        <v>62</v>
      </c>
      <c r="C39" s="32"/>
      <c r="D39" s="32"/>
      <c r="E39" s="63">
        <v>25819.29</v>
      </c>
      <c r="F39" s="63">
        <v>23881.040000000001</v>
      </c>
      <c r="G39" s="36"/>
    </row>
    <row r="40" spans="2:7" x14ac:dyDescent="0.2">
      <c r="B40" s="28" t="s">
        <v>63</v>
      </c>
      <c r="C40" s="32"/>
      <c r="D40" s="32"/>
      <c r="E40" s="63">
        <v>14780.22</v>
      </c>
      <c r="F40" s="63">
        <v>20225.099999999999</v>
      </c>
      <c r="G40" s="36"/>
    </row>
    <row r="41" spans="2:7" x14ac:dyDescent="0.2">
      <c r="B41" s="28" t="s">
        <v>45</v>
      </c>
      <c r="C41" s="32"/>
      <c r="D41" s="32"/>
      <c r="E41" s="63">
        <f>133060.34+466.2</f>
        <v>133526.54</v>
      </c>
      <c r="F41" s="63">
        <v>130628.05</v>
      </c>
      <c r="G41" s="36"/>
    </row>
    <row r="42" spans="2:7" x14ac:dyDescent="0.2">
      <c r="B42" s="28" t="s">
        <v>46</v>
      </c>
      <c r="C42" s="32"/>
      <c r="D42" s="32"/>
      <c r="E42" s="63">
        <v>7585.82</v>
      </c>
      <c r="F42" s="63">
        <v>3740.24</v>
      </c>
      <c r="G42" s="36">
        <v>8222.7000000000007</v>
      </c>
    </row>
    <row r="43" spans="2:7" x14ac:dyDescent="0.2">
      <c r="B43" s="28" t="s">
        <v>47</v>
      </c>
      <c r="C43" s="32"/>
      <c r="D43" s="32"/>
      <c r="E43" s="63">
        <v>3024.77</v>
      </c>
      <c r="F43" s="63">
        <v>4092.03</v>
      </c>
      <c r="G43" s="36">
        <f>24403.52+453456.12</f>
        <v>477859.64</v>
      </c>
    </row>
    <row r="44" spans="2:7" x14ac:dyDescent="0.2">
      <c r="B44" s="28" t="s">
        <v>192</v>
      </c>
      <c r="C44" s="32"/>
      <c r="D44" s="32"/>
      <c r="E44" s="63">
        <v>1125</v>
      </c>
      <c r="F44" s="63">
        <v>0</v>
      </c>
      <c r="G44" s="36">
        <v>-453456.12</v>
      </c>
    </row>
    <row r="45" spans="2:7" x14ac:dyDescent="0.2">
      <c r="B45" s="28"/>
      <c r="C45" s="32"/>
      <c r="D45" s="32"/>
      <c r="E45" s="63"/>
      <c r="F45" s="63"/>
      <c r="G45" s="36"/>
    </row>
    <row r="46" spans="2:7" x14ac:dyDescent="0.2">
      <c r="B46" s="22" t="s">
        <v>48</v>
      </c>
      <c r="C46" s="23"/>
      <c r="D46" s="24"/>
      <c r="E46" s="61">
        <f>E11-E25</f>
        <v>3401.979999999865</v>
      </c>
      <c r="F46" s="61">
        <f>F11-F25</f>
        <v>-39974.180000000051</v>
      </c>
      <c r="G46" s="34" t="e">
        <f>G11-G25+#REF!</f>
        <v>#REF!</v>
      </c>
    </row>
    <row r="47" spans="2:7" x14ac:dyDescent="0.2">
      <c r="B47" s="15"/>
      <c r="C47" s="15"/>
      <c r="D47" s="15"/>
      <c r="E47" s="75"/>
      <c r="F47" s="76"/>
      <c r="G47" s="12"/>
    </row>
    <row r="48" spans="2:7" x14ac:dyDescent="0.2">
      <c r="B48" s="17" t="s">
        <v>55</v>
      </c>
      <c r="C48" s="17"/>
      <c r="D48" s="17"/>
      <c r="E48" s="17"/>
      <c r="F48" s="77"/>
      <c r="G48" s="17"/>
    </row>
    <row r="49" spans="2:7" x14ac:dyDescent="0.2">
      <c r="B49" s="18"/>
      <c r="C49" s="18"/>
      <c r="D49" s="18"/>
      <c r="E49" s="18"/>
      <c r="F49" s="78"/>
      <c r="G49" s="12"/>
    </row>
    <row r="50" spans="2:7" x14ac:dyDescent="0.2">
      <c r="B50" s="18"/>
      <c r="C50" s="18"/>
      <c r="D50" s="18"/>
      <c r="E50" s="18"/>
      <c r="F50" s="78"/>
      <c r="G50" s="12"/>
    </row>
    <row r="51" spans="2:7" x14ac:dyDescent="0.2">
      <c r="B51" s="18"/>
      <c r="C51" s="18"/>
      <c r="D51" s="18"/>
      <c r="E51" s="18"/>
      <c r="F51" s="78"/>
      <c r="G51" s="12"/>
    </row>
    <row r="52" spans="2:7" x14ac:dyDescent="0.2">
      <c r="B52" s="5" t="s">
        <v>183</v>
      </c>
      <c r="C52" s="5"/>
      <c r="D52" s="7" t="s">
        <v>185</v>
      </c>
      <c r="E52" s="7"/>
      <c r="F52" s="79"/>
      <c r="G52" s="5"/>
    </row>
    <row r="53" spans="2:7" x14ac:dyDescent="0.2">
      <c r="B53" s="5" t="s">
        <v>4</v>
      </c>
      <c r="C53" s="5"/>
      <c r="D53" s="89" t="s">
        <v>186</v>
      </c>
      <c r="E53" s="89"/>
      <c r="F53" s="79"/>
      <c r="G53" s="5"/>
    </row>
    <row r="54" spans="2:7" x14ac:dyDescent="0.2">
      <c r="B54" s="5" t="s">
        <v>184</v>
      </c>
      <c r="C54" s="87"/>
      <c r="D54" s="89" t="s">
        <v>187</v>
      </c>
      <c r="E54" s="89"/>
      <c r="F54" s="79"/>
      <c r="G54" s="12"/>
    </row>
    <row r="55" spans="2:7" x14ac:dyDescent="0.2">
      <c r="B55" s="12"/>
      <c r="C55" s="12"/>
      <c r="D55" s="12"/>
      <c r="E55" s="80"/>
      <c r="F55" s="80"/>
      <c r="G55" s="12"/>
    </row>
  </sheetData>
  <phoneticPr fontId="2" type="noConversion"/>
  <printOptions horizontalCentered="1"/>
  <pageMargins left="0.59055118110236227" right="0.62992125984251968" top="1.7716535433070868" bottom="0.6796875" header="0.51181102362204722" footer="0.515625"/>
  <pageSetup paperSize="9" orientation="portrait" r:id="rId1"/>
  <headerFooter scaleWithDoc="0"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1"/>
  <sheetViews>
    <sheetView tabSelected="1" showWhiteSpace="0" view="pageBreakPreview" topLeftCell="B1" zoomScaleNormal="100" zoomScaleSheetLayoutView="100" workbookViewId="0">
      <selection activeCell="K40" sqref="K40"/>
    </sheetView>
  </sheetViews>
  <sheetFormatPr defaultRowHeight="11.25" x14ac:dyDescent="0.2"/>
  <cols>
    <col min="1" max="1" width="3.7109375" style="1" customWidth="1"/>
    <col min="2" max="2" width="45.5703125" style="1" customWidth="1"/>
    <col min="3" max="3" width="12" style="1" customWidth="1"/>
    <col min="4" max="4" width="11.85546875" style="1" customWidth="1"/>
    <col min="5" max="5" width="11.28515625" style="1" customWidth="1"/>
    <col min="6" max="16384" width="9.140625" style="1"/>
  </cols>
  <sheetData>
    <row r="1" spans="2:6" x14ac:dyDescent="0.2">
      <c r="B1" s="95"/>
      <c r="C1" s="95"/>
      <c r="D1" s="95"/>
      <c r="E1" s="95"/>
    </row>
    <row r="2" spans="2:6" x14ac:dyDescent="0.2">
      <c r="B2" s="26" t="s">
        <v>181</v>
      </c>
      <c r="C2" s="26"/>
      <c r="D2" s="26"/>
      <c r="E2" s="26"/>
      <c r="F2" s="71"/>
    </row>
    <row r="3" spans="2:6" x14ac:dyDescent="0.2">
      <c r="B3" s="26" t="s">
        <v>56</v>
      </c>
      <c r="C3" s="26"/>
      <c r="D3" s="26"/>
      <c r="E3" s="26"/>
      <c r="F3" s="71"/>
    </row>
    <row r="4" spans="2:6" x14ac:dyDescent="0.2">
      <c r="B4" s="26"/>
      <c r="C4" s="26"/>
      <c r="D4" s="26"/>
      <c r="E4" s="26"/>
      <c r="F4" s="6"/>
    </row>
    <row r="5" spans="2:6" x14ac:dyDescent="0.2">
      <c r="B5" s="26" t="s">
        <v>69</v>
      </c>
      <c r="C5" s="26"/>
      <c r="D5" s="26"/>
      <c r="E5" s="26"/>
      <c r="F5" s="6"/>
    </row>
    <row r="6" spans="2:6" x14ac:dyDescent="0.2">
      <c r="B6" s="33"/>
      <c r="C6" s="33"/>
      <c r="D6" s="33"/>
      <c r="E6" s="33"/>
      <c r="F6" s="6"/>
    </row>
    <row r="7" spans="2:6" x14ac:dyDescent="0.2">
      <c r="B7" s="26" t="s">
        <v>0</v>
      </c>
      <c r="C7" s="26"/>
      <c r="D7" s="26"/>
      <c r="E7" s="26"/>
      <c r="F7" s="6"/>
    </row>
    <row r="8" spans="2:6" x14ac:dyDescent="0.2">
      <c r="B8" s="26"/>
      <c r="C8" s="26"/>
      <c r="D8" s="26"/>
      <c r="E8" s="26"/>
      <c r="F8" s="6"/>
    </row>
    <row r="9" spans="2:6" ht="31.5" x14ac:dyDescent="0.2">
      <c r="B9" s="2" t="s">
        <v>1</v>
      </c>
      <c r="C9" s="44" t="s">
        <v>70</v>
      </c>
      <c r="D9" s="44" t="s">
        <v>2</v>
      </c>
      <c r="E9" s="44" t="s">
        <v>3</v>
      </c>
    </row>
    <row r="10" spans="2:6" x14ac:dyDescent="0.2">
      <c r="B10" s="27" t="s">
        <v>8</v>
      </c>
      <c r="C10" s="91">
        <v>30231.19</v>
      </c>
      <c r="D10" s="91">
        <v>3544.1</v>
      </c>
      <c r="E10" s="91">
        <f>SUM(C10:D10)</f>
        <v>33775.29</v>
      </c>
    </row>
    <row r="11" spans="2:6" x14ac:dyDescent="0.2">
      <c r="B11" s="28" t="s">
        <v>6</v>
      </c>
      <c r="C11" s="82">
        <f>3544.01-48.95</f>
        <v>3495.0600000000004</v>
      </c>
      <c r="D11" s="82">
        <f>-3544.1</f>
        <v>-3544.1</v>
      </c>
      <c r="E11" s="82">
        <f>SUM(C11:D11)</f>
        <v>-49.039999999999509</v>
      </c>
    </row>
    <row r="12" spans="2:6" x14ac:dyDescent="0.2">
      <c r="B12" s="28" t="s">
        <v>7</v>
      </c>
      <c r="C12" s="82">
        <v>0</v>
      </c>
      <c r="D12" s="82">
        <v>-39974.18</v>
      </c>
      <c r="E12" s="82">
        <f>SUM(C12:D12)</f>
        <v>-39974.18</v>
      </c>
    </row>
    <row r="13" spans="2:6" x14ac:dyDescent="0.2">
      <c r="B13" s="27" t="s">
        <v>20</v>
      </c>
      <c r="C13" s="90">
        <f>SUM(C10:C12)</f>
        <v>33726.25</v>
      </c>
      <c r="D13" s="90">
        <f>SUM(D10:D12)</f>
        <v>-39974.18</v>
      </c>
      <c r="E13" s="90">
        <f>SUM(E10:E12)</f>
        <v>-6247.93</v>
      </c>
    </row>
    <row r="14" spans="2:6" x14ac:dyDescent="0.2">
      <c r="B14" s="28" t="s">
        <v>209</v>
      </c>
      <c r="C14" s="82">
        <f>E12</f>
        <v>-39974.18</v>
      </c>
      <c r="D14" s="82">
        <v>39974.18</v>
      </c>
      <c r="E14" s="82">
        <f>SUM(C14:D14)</f>
        <v>0</v>
      </c>
    </row>
    <row r="15" spans="2:6" x14ac:dyDescent="0.2">
      <c r="B15" s="28" t="s">
        <v>211</v>
      </c>
      <c r="C15" s="82"/>
      <c r="D15" s="82">
        <v>3401.98</v>
      </c>
      <c r="E15" s="82">
        <f t="shared" ref="E15:E16" si="0">SUM(C15:D15)</f>
        <v>3401.98</v>
      </c>
    </row>
    <row r="16" spans="2:6" x14ac:dyDescent="0.2">
      <c r="B16" s="28" t="s">
        <v>210</v>
      </c>
      <c r="C16" s="82">
        <f>E15</f>
        <v>3401.98</v>
      </c>
      <c r="D16" s="82">
        <f>-E15</f>
        <v>-3401.98</v>
      </c>
      <c r="E16" s="82">
        <f t="shared" si="0"/>
        <v>0</v>
      </c>
    </row>
    <row r="17" spans="2:6" x14ac:dyDescent="0.2">
      <c r="B17" s="27" t="s">
        <v>68</v>
      </c>
      <c r="C17" s="90">
        <f t="shared" ref="C17:D17" si="1">SUM(C13:C16)</f>
        <v>-2845.9500000000003</v>
      </c>
      <c r="D17" s="90">
        <f t="shared" si="1"/>
        <v>0</v>
      </c>
      <c r="E17" s="90">
        <f>SUM(E13:E16)</f>
        <v>-2845.9500000000003</v>
      </c>
    </row>
    <row r="18" spans="2:6" x14ac:dyDescent="0.2">
      <c r="B18" s="52"/>
      <c r="C18" s="53"/>
      <c r="D18" s="53"/>
      <c r="E18" s="53"/>
    </row>
    <row r="20" spans="2:6" x14ac:dyDescent="0.2">
      <c r="B20" s="17" t="s">
        <v>55</v>
      </c>
      <c r="C20" s="17"/>
      <c r="D20" s="17"/>
      <c r="E20" s="17"/>
      <c r="F20" s="17"/>
    </row>
    <row r="21" spans="2:6" x14ac:dyDescent="0.2">
      <c r="B21" s="18"/>
      <c r="C21" s="18"/>
      <c r="D21" s="18"/>
      <c r="E21" s="18"/>
      <c r="F21" s="18"/>
    </row>
    <row r="22" spans="2:6" x14ac:dyDescent="0.2">
      <c r="B22" s="18"/>
      <c r="C22" s="18"/>
      <c r="D22" s="18"/>
      <c r="E22" s="18"/>
      <c r="F22" s="18"/>
    </row>
    <row r="23" spans="2:6" x14ac:dyDescent="0.2">
      <c r="B23" s="18"/>
      <c r="C23" s="18"/>
      <c r="D23" s="18"/>
      <c r="E23" s="18"/>
      <c r="F23" s="18"/>
    </row>
    <row r="24" spans="2:6" x14ac:dyDescent="0.2">
      <c r="B24" s="5" t="s">
        <v>183</v>
      </c>
      <c r="C24" s="7" t="s">
        <v>185</v>
      </c>
      <c r="D24" s="7"/>
      <c r="E24" s="7"/>
      <c r="F24" s="79"/>
    </row>
    <row r="25" spans="2:6" x14ac:dyDescent="0.2">
      <c r="B25" s="5" t="s">
        <v>4</v>
      </c>
      <c r="C25" s="89" t="s">
        <v>186</v>
      </c>
      <c r="D25" s="89"/>
      <c r="E25" s="89"/>
      <c r="F25" s="79"/>
    </row>
    <row r="26" spans="2:6" x14ac:dyDescent="0.2">
      <c r="B26" s="5" t="s">
        <v>184</v>
      </c>
      <c r="C26" s="89" t="s">
        <v>187</v>
      </c>
      <c r="D26" s="89"/>
      <c r="E26" s="89"/>
      <c r="F26" s="79"/>
    </row>
    <row r="31" spans="2:6" x14ac:dyDescent="0.2">
      <c r="B31" s="8"/>
    </row>
  </sheetData>
  <mergeCells count="1">
    <mergeCell ref="B1:E1"/>
  </mergeCells>
  <phoneticPr fontId="2" type="noConversion"/>
  <printOptions horizontalCentered="1"/>
  <pageMargins left="0.59055118110236227" right="0.62992125984251968" top="1.7716535433070868" bottom="0.6796875" header="0.51181102362204722" footer="0.515625"/>
  <pageSetup paperSize="9" orientation="portrait" r:id="rId1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1"/>
  <sheetViews>
    <sheetView tabSelected="1" view="pageBreakPreview" zoomScaleNormal="100" zoomScaleSheetLayoutView="100" workbookViewId="0">
      <selection activeCell="K40" sqref="K40"/>
    </sheetView>
  </sheetViews>
  <sheetFormatPr defaultRowHeight="12.75" x14ac:dyDescent="0.2"/>
  <cols>
    <col min="1" max="1" width="9.140625" style="11"/>
    <col min="2" max="2" width="50.28515625" style="11" customWidth="1"/>
    <col min="3" max="3" width="13.85546875" style="11" bestFit="1" customWidth="1"/>
    <col min="4" max="4" width="12.42578125" style="11" customWidth="1"/>
    <col min="5" max="5" width="14.5703125" style="11" hidden="1" customWidth="1"/>
    <col min="6" max="6" width="13.85546875" style="11" hidden="1" customWidth="1"/>
    <col min="7" max="7" width="9.28515625" style="11" bestFit="1" customWidth="1"/>
    <col min="8" max="16384" width="9.140625" style="11"/>
  </cols>
  <sheetData>
    <row r="2" spans="2:9" s="1" customFormat="1" ht="11.25" customHeight="1" x14ac:dyDescent="0.2">
      <c r="B2" s="26" t="s">
        <v>181</v>
      </c>
      <c r="C2" s="26"/>
      <c r="D2" s="26"/>
      <c r="E2" s="26"/>
      <c r="F2" s="4"/>
      <c r="G2" s="4"/>
      <c r="H2" s="4"/>
      <c r="I2" s="4"/>
    </row>
    <row r="3" spans="2:9" s="1" customFormat="1" ht="11.25" x14ac:dyDescent="0.2">
      <c r="B3" s="26" t="s">
        <v>56</v>
      </c>
      <c r="C3" s="26"/>
      <c r="D3" s="26"/>
      <c r="E3" s="26"/>
      <c r="F3" s="4"/>
      <c r="G3" s="4"/>
      <c r="H3" s="4"/>
      <c r="I3" s="4"/>
    </row>
    <row r="4" spans="2:9" s="1" customFormat="1" ht="11.25" x14ac:dyDescent="0.2">
      <c r="B4" s="26"/>
      <c r="C4" s="26"/>
      <c r="D4" s="26"/>
      <c r="E4" s="26"/>
      <c r="F4" s="4"/>
      <c r="G4" s="4"/>
      <c r="H4" s="4"/>
      <c r="I4" s="4"/>
    </row>
    <row r="5" spans="2:9" s="1" customFormat="1" ht="11.25" x14ac:dyDescent="0.2">
      <c r="B5" s="26" t="s">
        <v>50</v>
      </c>
      <c r="C5" s="26"/>
      <c r="D5" s="26"/>
      <c r="E5" s="26"/>
      <c r="F5" s="4"/>
      <c r="G5" s="4"/>
      <c r="H5" s="4"/>
      <c r="I5" s="4"/>
    </row>
    <row r="6" spans="2:9" s="1" customFormat="1" ht="11.25" x14ac:dyDescent="0.2">
      <c r="B6" s="33"/>
      <c r="C6" s="33"/>
      <c r="D6" s="33"/>
      <c r="E6" s="33"/>
      <c r="F6" s="4"/>
      <c r="G6" s="4"/>
      <c r="H6" s="4"/>
      <c r="I6" s="4"/>
    </row>
    <row r="7" spans="2:9" s="1" customFormat="1" ht="11.25" x14ac:dyDescent="0.2">
      <c r="B7" s="26" t="s">
        <v>0</v>
      </c>
      <c r="C7" s="26"/>
      <c r="D7" s="26"/>
      <c r="E7" s="26"/>
      <c r="F7" s="4"/>
      <c r="G7" s="4"/>
      <c r="H7" s="4"/>
      <c r="I7" s="4"/>
    </row>
    <row r="8" spans="2:9" x14ac:dyDescent="0.2">
      <c r="B8" s="22" t="s">
        <v>51</v>
      </c>
      <c r="C8" s="23">
        <v>2012</v>
      </c>
      <c r="D8" s="24">
        <v>2011</v>
      </c>
      <c r="E8" s="26" t="s">
        <v>64</v>
      </c>
      <c r="F8" s="26" t="s">
        <v>65</v>
      </c>
    </row>
    <row r="9" spans="2:9" x14ac:dyDescent="0.2">
      <c r="B9" s="30" t="s">
        <v>9</v>
      </c>
      <c r="C9" s="63"/>
      <c r="D9" s="82"/>
      <c r="E9" s="54"/>
      <c r="F9" s="54"/>
    </row>
    <row r="10" spans="2:9" x14ac:dyDescent="0.2">
      <c r="B10" s="28" t="s">
        <v>82</v>
      </c>
      <c r="C10" s="63">
        <v>3401.98</v>
      </c>
      <c r="D10" s="63">
        <v>-39974.18</v>
      </c>
      <c r="E10" s="54">
        <v>307076.44</v>
      </c>
      <c r="F10" s="54">
        <f>C10+D10</f>
        <v>-36572.199999999997</v>
      </c>
    </row>
    <row r="11" spans="2:9" x14ac:dyDescent="0.2">
      <c r="B11" s="28" t="s">
        <v>10</v>
      </c>
      <c r="C11" s="63">
        <v>5833.26</v>
      </c>
      <c r="D11" s="63">
        <v>5960.77</v>
      </c>
      <c r="E11" s="54">
        <v>135936.93</v>
      </c>
      <c r="F11" s="54">
        <f>E11+C11+D11</f>
        <v>147730.96</v>
      </c>
    </row>
    <row r="12" spans="2:9" x14ac:dyDescent="0.2">
      <c r="B12" s="28" t="s">
        <v>212</v>
      </c>
      <c r="C12" s="63">
        <v>-6375</v>
      </c>
      <c r="D12" s="63">
        <v>0</v>
      </c>
      <c r="E12" s="54"/>
      <c r="F12" s="54"/>
    </row>
    <row r="13" spans="2:9" x14ac:dyDescent="0.2">
      <c r="B13" s="28" t="s">
        <v>11</v>
      </c>
      <c r="C13" s="63">
        <v>-3375</v>
      </c>
      <c r="D13" s="82">
        <v>0</v>
      </c>
      <c r="E13" s="54"/>
      <c r="F13" s="54">
        <f>E13+C13+D13</f>
        <v>-3375</v>
      </c>
    </row>
    <row r="14" spans="2:9" x14ac:dyDescent="0.2">
      <c r="B14" s="28" t="s">
        <v>83</v>
      </c>
      <c r="C14" s="63">
        <v>0</v>
      </c>
      <c r="D14" s="82">
        <v>-48.95</v>
      </c>
      <c r="E14" s="54"/>
      <c r="F14" s="54">
        <f>E14+C14+D14</f>
        <v>-48.95</v>
      </c>
    </row>
    <row r="15" spans="2:9" x14ac:dyDescent="0.2">
      <c r="B15" s="30" t="s">
        <v>84</v>
      </c>
      <c r="C15" s="62">
        <f>SUM(C10:C14)</f>
        <v>-514.76000000000022</v>
      </c>
      <c r="D15" s="83">
        <f>SUM(D10:D14)</f>
        <v>-34062.36</v>
      </c>
      <c r="E15" s="54"/>
      <c r="F15" s="54">
        <f>E15+C15+D15</f>
        <v>-34577.120000000003</v>
      </c>
    </row>
    <row r="16" spans="2:9" x14ac:dyDescent="0.2">
      <c r="B16" s="28" t="s">
        <v>193</v>
      </c>
      <c r="C16" s="63">
        <v>-183.42</v>
      </c>
      <c r="D16" s="63">
        <v>599.74</v>
      </c>
      <c r="E16" s="54"/>
      <c r="F16" s="54">
        <f>E16+C16+D16</f>
        <v>416.32000000000005</v>
      </c>
      <c r="H16" s="93"/>
    </row>
    <row r="17" spans="2:8" x14ac:dyDescent="0.2">
      <c r="B17" s="28" t="s">
        <v>194</v>
      </c>
      <c r="C17" s="63">
        <v>-2400</v>
      </c>
      <c r="D17" s="63">
        <v>0</v>
      </c>
      <c r="E17" s="54">
        <v>-15596.83</v>
      </c>
      <c r="F17" s="54">
        <f t="shared" ref="F17:F26" si="0">E17+C17</f>
        <v>-17996.830000000002</v>
      </c>
      <c r="H17" s="93"/>
    </row>
    <row r="18" spans="2:8" x14ac:dyDescent="0.2">
      <c r="B18" s="28" t="s">
        <v>202</v>
      </c>
      <c r="C18" s="63">
        <v>7500</v>
      </c>
      <c r="D18" s="82">
        <v>0</v>
      </c>
      <c r="E18" s="54">
        <v>0</v>
      </c>
      <c r="F18" s="54">
        <f t="shared" si="0"/>
        <v>7500</v>
      </c>
      <c r="H18" s="93"/>
    </row>
    <row r="19" spans="2:8" x14ac:dyDescent="0.2">
      <c r="B19" s="28" t="s">
        <v>206</v>
      </c>
      <c r="C19" s="63">
        <v>-3834.8</v>
      </c>
      <c r="D19" s="63">
        <f>1010.67</f>
        <v>1010.67</v>
      </c>
      <c r="E19" s="54"/>
      <c r="F19" s="54">
        <f t="shared" si="0"/>
        <v>-3834.8</v>
      </c>
      <c r="H19" s="93"/>
    </row>
    <row r="20" spans="2:8" x14ac:dyDescent="0.2">
      <c r="B20" s="28" t="s">
        <v>207</v>
      </c>
      <c r="C20" s="63">
        <v>-15449</v>
      </c>
      <c r="D20" s="63">
        <v>13857.06</v>
      </c>
      <c r="E20" s="54">
        <v>0</v>
      </c>
      <c r="F20" s="54">
        <f t="shared" si="0"/>
        <v>-15449</v>
      </c>
      <c r="G20" s="94"/>
      <c r="H20" s="93"/>
    </row>
    <row r="21" spans="2:8" x14ac:dyDescent="0.2">
      <c r="B21" s="28" t="s">
        <v>208</v>
      </c>
      <c r="C21" s="63">
        <v>-553.4</v>
      </c>
      <c r="D21" s="63">
        <v>-28.9</v>
      </c>
      <c r="E21" s="54">
        <v>0</v>
      </c>
      <c r="F21" s="54">
        <f t="shared" si="0"/>
        <v>-553.4</v>
      </c>
      <c r="H21" s="93"/>
    </row>
    <row r="22" spans="2:8" x14ac:dyDescent="0.2">
      <c r="B22" s="28" t="s">
        <v>195</v>
      </c>
      <c r="C22" s="63">
        <v>63.24</v>
      </c>
      <c r="D22" s="63">
        <v>-305.35000000000002</v>
      </c>
      <c r="E22" s="54">
        <v>199.15</v>
      </c>
      <c r="F22" s="54">
        <f t="shared" si="0"/>
        <v>262.39</v>
      </c>
      <c r="H22" s="93"/>
    </row>
    <row r="23" spans="2:8" x14ac:dyDescent="0.2">
      <c r="B23" s="28" t="s">
        <v>196</v>
      </c>
      <c r="C23" s="63">
        <v>-184.99</v>
      </c>
      <c r="D23" s="63">
        <v>36.15</v>
      </c>
      <c r="E23" s="54">
        <v>1999</v>
      </c>
      <c r="F23" s="54">
        <f t="shared" si="0"/>
        <v>1814.01</v>
      </c>
      <c r="H23" s="93"/>
    </row>
    <row r="24" spans="2:8" ht="10.5" customHeight="1" x14ac:dyDescent="0.2">
      <c r="B24" s="28" t="s">
        <v>197</v>
      </c>
      <c r="C24" s="63">
        <v>13257.67</v>
      </c>
      <c r="D24" s="63">
        <v>-6757.67</v>
      </c>
      <c r="E24" s="54">
        <v>128557.96</v>
      </c>
      <c r="F24" s="54">
        <f t="shared" si="0"/>
        <v>141815.63</v>
      </c>
      <c r="H24" s="93"/>
    </row>
    <row r="25" spans="2:8" x14ac:dyDescent="0.2">
      <c r="B25" s="28" t="s">
        <v>198</v>
      </c>
      <c r="C25" s="63">
        <v>4922.51</v>
      </c>
      <c r="D25" s="63">
        <v>0</v>
      </c>
      <c r="E25" s="54">
        <v>1062</v>
      </c>
      <c r="F25" s="54">
        <f t="shared" si="0"/>
        <v>5984.51</v>
      </c>
      <c r="H25" s="93"/>
    </row>
    <row r="26" spans="2:8" x14ac:dyDescent="0.2">
      <c r="B26" s="28" t="s">
        <v>203</v>
      </c>
      <c r="C26" s="63"/>
      <c r="D26" s="63">
        <v>-455</v>
      </c>
      <c r="E26" s="54">
        <v>5269.05</v>
      </c>
      <c r="F26" s="54">
        <f t="shared" si="0"/>
        <v>5269.05</v>
      </c>
      <c r="H26" s="93"/>
    </row>
    <row r="27" spans="2:8" x14ac:dyDescent="0.2">
      <c r="B27" s="28" t="s">
        <v>199</v>
      </c>
      <c r="C27" s="63"/>
      <c r="D27" s="63"/>
      <c r="E27" s="54">
        <v>16128.05</v>
      </c>
      <c r="F27" s="54">
        <f>E27+C27+D27</f>
        <v>16128.05</v>
      </c>
      <c r="H27" s="93"/>
    </row>
    <row r="28" spans="2:8" x14ac:dyDescent="0.2">
      <c r="B28" s="29" t="s">
        <v>12</v>
      </c>
      <c r="C28" s="62">
        <f>SUM(C15:C27)</f>
        <v>2623.0500000000011</v>
      </c>
      <c r="D28" s="62">
        <f>SUM(D15:D27)</f>
        <v>-26105.660000000003</v>
      </c>
      <c r="E28" s="54"/>
      <c r="F28" s="54">
        <f>E28+C28+D28</f>
        <v>-23482.61</v>
      </c>
    </row>
    <row r="29" spans="2:8" x14ac:dyDescent="0.2">
      <c r="B29" s="21"/>
      <c r="C29" s="20"/>
      <c r="D29" s="20"/>
      <c r="E29" s="54"/>
      <c r="F29" s="54"/>
    </row>
    <row r="30" spans="2:8" x14ac:dyDescent="0.2">
      <c r="B30" s="22" t="s">
        <v>13</v>
      </c>
      <c r="C30" s="23">
        <v>2012</v>
      </c>
      <c r="D30" s="24">
        <v>2011</v>
      </c>
      <c r="E30" s="54"/>
      <c r="F30" s="54"/>
    </row>
    <row r="31" spans="2:8" x14ac:dyDescent="0.2">
      <c r="B31" s="28" t="s">
        <v>14</v>
      </c>
      <c r="C31" s="63">
        <v>-2285.8000000000002</v>
      </c>
      <c r="D31" s="82">
        <v>-13602.22</v>
      </c>
      <c r="E31" s="54"/>
      <c r="F31" s="54"/>
    </row>
    <row r="32" spans="2:8" x14ac:dyDescent="0.2">
      <c r="B32" s="28" t="s">
        <v>204</v>
      </c>
      <c r="C32" s="63">
        <v>3375</v>
      </c>
      <c r="D32" s="82"/>
      <c r="E32" s="54"/>
      <c r="F32" s="54"/>
    </row>
    <row r="33" spans="1:7" x14ac:dyDescent="0.2">
      <c r="B33" s="28" t="s">
        <v>205</v>
      </c>
      <c r="C33" s="63"/>
      <c r="D33" s="82"/>
      <c r="E33" s="54"/>
      <c r="F33" s="54"/>
    </row>
    <row r="34" spans="1:7" ht="21" x14ac:dyDescent="0.2">
      <c r="B34" s="29" t="s">
        <v>15</v>
      </c>
      <c r="C34" s="62">
        <f>SUM(C31:C33)</f>
        <v>1089.1999999999998</v>
      </c>
      <c r="D34" s="62">
        <f>SUM(D31:D33)</f>
        <v>-13602.22</v>
      </c>
      <c r="E34" s="54"/>
      <c r="F34" s="54">
        <f>E34+C34+D34</f>
        <v>-12513.02</v>
      </c>
    </row>
    <row r="35" spans="1:7" x14ac:dyDescent="0.2">
      <c r="B35" s="21"/>
      <c r="C35" s="20"/>
      <c r="D35" s="20"/>
      <c r="E35" s="54">
        <v>-382955.84</v>
      </c>
      <c r="F35" s="54">
        <f>E35+C35</f>
        <v>-382955.84</v>
      </c>
    </row>
    <row r="36" spans="1:7" x14ac:dyDescent="0.2">
      <c r="B36" s="22" t="s">
        <v>16</v>
      </c>
      <c r="C36" s="23">
        <v>2012</v>
      </c>
      <c r="D36" s="24">
        <v>2011</v>
      </c>
      <c r="E36" s="54"/>
      <c r="F36" s="54">
        <f t="shared" ref="F36:F43" si="1">E36+C36+D36</f>
        <v>4023</v>
      </c>
    </row>
    <row r="37" spans="1:7" ht="21" x14ac:dyDescent="0.2">
      <c r="B37" s="29" t="s">
        <v>17</v>
      </c>
      <c r="C37" s="92">
        <v>0</v>
      </c>
      <c r="D37" s="92">
        <v>0</v>
      </c>
      <c r="E37" s="54"/>
      <c r="F37" s="54">
        <f t="shared" si="1"/>
        <v>0</v>
      </c>
    </row>
    <row r="38" spans="1:7" x14ac:dyDescent="0.2">
      <c r="B38" s="29"/>
      <c r="C38" s="92"/>
      <c r="D38" s="92"/>
      <c r="E38" s="54"/>
      <c r="F38" s="54">
        <f t="shared" si="1"/>
        <v>0</v>
      </c>
    </row>
    <row r="39" spans="1:7" x14ac:dyDescent="0.2">
      <c r="B39" s="28" t="s">
        <v>200</v>
      </c>
      <c r="C39" s="63">
        <f>C28+C34+C37</f>
        <v>3712.2500000000009</v>
      </c>
      <c r="D39" s="63">
        <f>D28+D34+D37</f>
        <v>-39707.880000000005</v>
      </c>
      <c r="E39" s="54"/>
      <c r="F39" s="54">
        <f t="shared" si="1"/>
        <v>-35995.630000000005</v>
      </c>
    </row>
    <row r="40" spans="1:7" x14ac:dyDescent="0.2">
      <c r="B40" s="43"/>
      <c r="C40" s="64"/>
      <c r="D40" s="84"/>
      <c r="E40" s="54"/>
      <c r="F40" s="54">
        <f t="shared" si="1"/>
        <v>0</v>
      </c>
    </row>
    <row r="41" spans="1:7" x14ac:dyDescent="0.2">
      <c r="B41" s="22" t="s">
        <v>201</v>
      </c>
      <c r="C41" s="61">
        <f>C43-C42</f>
        <v>3712.25</v>
      </c>
      <c r="D41" s="61">
        <f t="shared" ref="D41" si="2">D43-D42</f>
        <v>-39707.880000000005</v>
      </c>
      <c r="E41" s="54"/>
      <c r="F41" s="54">
        <f t="shared" si="1"/>
        <v>-35995.630000000005</v>
      </c>
    </row>
    <row r="42" spans="1:7" x14ac:dyDescent="0.2">
      <c r="B42" s="22" t="s">
        <v>18</v>
      </c>
      <c r="C42" s="61">
        <v>12464.99</v>
      </c>
      <c r="D42" s="61">
        <v>52172.87</v>
      </c>
      <c r="E42" s="54"/>
      <c r="F42" s="54">
        <f t="shared" si="1"/>
        <v>64637.86</v>
      </c>
      <c r="G42" s="85"/>
    </row>
    <row r="43" spans="1:7" x14ac:dyDescent="0.2">
      <c r="B43" s="22" t="s">
        <v>19</v>
      </c>
      <c r="C43" s="61">
        <v>16177.24</v>
      </c>
      <c r="D43" s="61">
        <v>12464.99</v>
      </c>
      <c r="E43" s="54"/>
      <c r="F43" s="54">
        <f t="shared" si="1"/>
        <v>28642.23</v>
      </c>
    </row>
    <row r="44" spans="1:7" x14ac:dyDescent="0.2">
      <c r="E44" s="54"/>
      <c r="F44" s="54"/>
    </row>
    <row r="45" spans="1:7" s="1" customFormat="1" ht="11.25" x14ac:dyDescent="0.2">
      <c r="B45" s="17" t="s">
        <v>55</v>
      </c>
      <c r="C45" s="17"/>
      <c r="D45" s="17"/>
      <c r="E45" s="17"/>
    </row>
    <row r="46" spans="1:7" s="1" customFormat="1" x14ac:dyDescent="0.2">
      <c r="A46" s="9"/>
      <c r="B46" s="18"/>
      <c r="C46" s="18"/>
      <c r="D46" s="18"/>
      <c r="E46" s="18"/>
      <c r="F46" s="3"/>
    </row>
    <row r="47" spans="1:7" s="1" customFormat="1" x14ac:dyDescent="0.2">
      <c r="A47" s="9"/>
      <c r="B47" s="18"/>
      <c r="C47" s="18"/>
      <c r="D47" s="18"/>
      <c r="E47" s="18"/>
      <c r="F47" s="3"/>
    </row>
    <row r="48" spans="1:7" s="1" customFormat="1" x14ac:dyDescent="0.2">
      <c r="B48" s="18"/>
      <c r="C48" s="18"/>
      <c r="D48" s="18"/>
      <c r="E48" s="18"/>
      <c r="F48" s="10"/>
    </row>
    <row r="49" spans="2:6" s="1" customFormat="1" ht="11.25" x14ac:dyDescent="0.2">
      <c r="B49" s="5" t="s">
        <v>183</v>
      </c>
      <c r="C49" s="7" t="s">
        <v>185</v>
      </c>
      <c r="D49" s="7"/>
      <c r="E49" s="7"/>
      <c r="F49" s="79"/>
    </row>
    <row r="50" spans="2:6" x14ac:dyDescent="0.2">
      <c r="B50" s="5" t="s">
        <v>4</v>
      </c>
      <c r="C50" s="89" t="s">
        <v>186</v>
      </c>
      <c r="D50" s="89"/>
      <c r="E50" s="89"/>
      <c r="F50" s="79"/>
    </row>
    <row r="51" spans="2:6" x14ac:dyDescent="0.2">
      <c r="B51" s="5" t="s">
        <v>184</v>
      </c>
      <c r="C51" s="89" t="s">
        <v>187</v>
      </c>
      <c r="D51" s="89"/>
      <c r="E51" s="89"/>
      <c r="F51" s="79"/>
    </row>
  </sheetData>
  <phoneticPr fontId="2" type="noConversion"/>
  <pageMargins left="0.59055118110236227" right="0.62992125984251968" top="1.7716535433070868" bottom="0.6796875" header="0.51181102362204722" footer="0.515625"/>
  <pageSetup paperSize="9" orientation="portrait" r:id="rId1"/>
  <headerFooter scaleWithDoc="0"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94"/>
  <sheetViews>
    <sheetView topLeftCell="A249" workbookViewId="0">
      <selection activeCell="C304" sqref="C304"/>
    </sheetView>
  </sheetViews>
  <sheetFormatPr defaultRowHeight="12.75" x14ac:dyDescent="0.2"/>
  <cols>
    <col min="1" max="1" width="10.5703125" style="55" customWidth="1"/>
    <col min="2" max="2" width="48.28515625" style="55" bestFit="1" customWidth="1"/>
    <col min="3" max="3" width="19.140625" style="55" bestFit="1" customWidth="1"/>
    <col min="4" max="4" width="18.5703125" style="55" bestFit="1" customWidth="1"/>
    <col min="5" max="5" width="13.85546875" style="55" bestFit="1" customWidth="1"/>
    <col min="6" max="6" width="20.140625" style="55" bestFit="1" customWidth="1"/>
    <col min="7" max="16384" width="9.140625" style="55"/>
  </cols>
  <sheetData>
    <row r="1" spans="1:6" x14ac:dyDescent="0.2">
      <c r="B1" s="55" t="s">
        <v>161</v>
      </c>
    </row>
    <row r="2" spans="1:6" x14ac:dyDescent="0.2">
      <c r="A2" s="55" t="s">
        <v>162</v>
      </c>
      <c r="C2" s="56" t="s">
        <v>163</v>
      </c>
      <c r="D2" s="57"/>
      <c r="E2" s="57">
        <v>40909</v>
      </c>
      <c r="F2" s="57">
        <v>41274</v>
      </c>
    </row>
    <row r="3" spans="1:6" x14ac:dyDescent="0.2">
      <c r="A3" s="55" t="s">
        <v>323</v>
      </c>
      <c r="B3" s="55" t="s">
        <v>324</v>
      </c>
      <c r="E3" s="56" t="s">
        <v>164</v>
      </c>
      <c r="F3" s="57">
        <v>41274</v>
      </c>
    </row>
    <row r="4" spans="1:6" x14ac:dyDescent="0.2">
      <c r="A4" s="55" t="s">
        <v>85</v>
      </c>
      <c r="B4" s="55" t="s">
        <v>165</v>
      </c>
      <c r="C4" s="55" t="s">
        <v>166</v>
      </c>
      <c r="D4" s="55" t="s">
        <v>167</v>
      </c>
      <c r="E4" s="55" t="s">
        <v>87</v>
      </c>
      <c r="F4" s="55" t="s">
        <v>87</v>
      </c>
    </row>
    <row r="5" spans="1:6" x14ac:dyDescent="0.2">
      <c r="A5" s="55" t="s">
        <v>168</v>
      </c>
      <c r="B5" s="55" t="s">
        <v>169</v>
      </c>
      <c r="C5" s="55" t="s">
        <v>88</v>
      </c>
      <c r="D5" s="55" t="s">
        <v>170</v>
      </c>
      <c r="E5" s="55" t="s">
        <v>171</v>
      </c>
      <c r="F5" s="55" t="s">
        <v>65</v>
      </c>
    </row>
    <row r="6" spans="1:6" x14ac:dyDescent="0.2">
      <c r="A6" s="55" t="s">
        <v>85</v>
      </c>
      <c r="B6" s="55" t="s">
        <v>165</v>
      </c>
      <c r="C6" s="55" t="s">
        <v>166</v>
      </c>
      <c r="D6" s="55" t="s">
        <v>167</v>
      </c>
      <c r="E6" s="55" t="s">
        <v>87</v>
      </c>
      <c r="F6" s="55" t="s">
        <v>87</v>
      </c>
    </row>
    <row r="8" spans="1:6" x14ac:dyDescent="0.2">
      <c r="A8" s="55">
        <v>1</v>
      </c>
      <c r="B8" s="55" t="s">
        <v>89</v>
      </c>
      <c r="C8" s="59">
        <v>40024.83</v>
      </c>
      <c r="D8" s="59">
        <v>1299310.54</v>
      </c>
      <c r="E8" s="59">
        <v>1297687.33</v>
      </c>
      <c r="F8" s="59">
        <v>41648.04</v>
      </c>
    </row>
    <row r="10" spans="1:6" x14ac:dyDescent="0.2">
      <c r="A10" s="55">
        <v>11</v>
      </c>
      <c r="B10" s="55" t="s">
        <v>90</v>
      </c>
      <c r="C10" s="59">
        <v>12859.11</v>
      </c>
      <c r="D10" s="59">
        <v>1290649.74</v>
      </c>
      <c r="E10" s="59">
        <v>1284354.07</v>
      </c>
      <c r="F10" s="59">
        <v>19154.78</v>
      </c>
    </row>
    <row r="12" spans="1:6" x14ac:dyDescent="0.2">
      <c r="A12" s="55">
        <v>111</v>
      </c>
      <c r="B12" s="55" t="s">
        <v>91</v>
      </c>
      <c r="C12" s="59">
        <v>12464.99</v>
      </c>
      <c r="D12" s="59">
        <v>1225503.42</v>
      </c>
      <c r="E12" s="59">
        <v>1221791.17</v>
      </c>
      <c r="F12" s="59">
        <v>16177.24</v>
      </c>
    </row>
    <row r="14" spans="1:6" x14ac:dyDescent="0.2">
      <c r="A14" s="55">
        <v>11101</v>
      </c>
      <c r="B14" s="55" t="s">
        <v>92</v>
      </c>
      <c r="C14" s="59">
        <v>1824.63</v>
      </c>
      <c r="D14" s="59">
        <v>51253.1</v>
      </c>
      <c r="E14" s="59">
        <v>49418.26</v>
      </c>
      <c r="F14" s="59">
        <v>3659.47</v>
      </c>
    </row>
    <row r="15" spans="1:6" x14ac:dyDescent="0.2">
      <c r="A15" s="55">
        <v>11101001</v>
      </c>
      <c r="B15" s="55" t="s">
        <v>93</v>
      </c>
      <c r="C15" s="59">
        <v>1824.63</v>
      </c>
      <c r="D15" s="59">
        <v>51253.1</v>
      </c>
      <c r="E15" s="59">
        <v>49418.26</v>
      </c>
      <c r="F15" s="59">
        <v>3659.47</v>
      </c>
    </row>
    <row r="16" spans="1:6" x14ac:dyDescent="0.2">
      <c r="C16" s="59"/>
      <c r="D16" s="59"/>
      <c r="E16" s="59"/>
    </row>
    <row r="17" spans="1:6" x14ac:dyDescent="0.2">
      <c r="A17" s="55">
        <v>11102</v>
      </c>
      <c r="B17" s="55" t="s">
        <v>217</v>
      </c>
      <c r="C17" s="59">
        <v>3019.44</v>
      </c>
      <c r="D17" s="59">
        <v>869598.3</v>
      </c>
      <c r="E17" s="59">
        <v>872457.74</v>
      </c>
      <c r="F17" s="55">
        <v>160</v>
      </c>
    </row>
    <row r="18" spans="1:6" x14ac:dyDescent="0.2">
      <c r="A18" s="55">
        <v>11102001</v>
      </c>
      <c r="B18" s="55" t="s">
        <v>218</v>
      </c>
      <c r="C18" s="55">
        <v>0</v>
      </c>
      <c r="D18" s="59">
        <v>285398.55</v>
      </c>
      <c r="E18" s="59">
        <v>285248.55</v>
      </c>
      <c r="F18" s="55">
        <v>150</v>
      </c>
    </row>
    <row r="19" spans="1:6" x14ac:dyDescent="0.2">
      <c r="A19" s="55">
        <v>11102003</v>
      </c>
      <c r="B19" s="55" t="s">
        <v>219</v>
      </c>
      <c r="C19" s="59">
        <v>2923.13</v>
      </c>
      <c r="D19" s="59">
        <v>4201.21</v>
      </c>
      <c r="E19" s="59">
        <v>7124.34</v>
      </c>
      <c r="F19" s="59">
        <v>0</v>
      </c>
    </row>
    <row r="20" spans="1:6" x14ac:dyDescent="0.2">
      <c r="A20" s="55">
        <v>11102006</v>
      </c>
      <c r="B20" s="55" t="s">
        <v>220</v>
      </c>
      <c r="C20" s="55">
        <v>96.31</v>
      </c>
      <c r="D20" s="59">
        <v>579998.54</v>
      </c>
      <c r="E20" s="59">
        <v>580084.85</v>
      </c>
      <c r="F20" s="55">
        <v>10</v>
      </c>
    </row>
    <row r="21" spans="1:6" x14ac:dyDescent="0.2">
      <c r="D21" s="59"/>
      <c r="E21" s="59"/>
      <c r="F21" s="59"/>
    </row>
    <row r="22" spans="1:6" x14ac:dyDescent="0.2">
      <c r="A22" s="55">
        <v>11105</v>
      </c>
      <c r="B22" s="55" t="s">
        <v>94</v>
      </c>
      <c r="C22" s="59">
        <v>7620.92</v>
      </c>
      <c r="D22" s="59">
        <v>304652.02</v>
      </c>
      <c r="E22" s="59">
        <v>299915.17</v>
      </c>
      <c r="F22" s="59">
        <v>12357.77</v>
      </c>
    </row>
    <row r="23" spans="1:6" x14ac:dyDescent="0.2">
      <c r="A23" s="55">
        <v>11105001</v>
      </c>
      <c r="B23" s="55" t="s">
        <v>221</v>
      </c>
      <c r="C23" s="59">
        <v>1667.19</v>
      </c>
      <c r="D23" s="55">
        <v>0</v>
      </c>
      <c r="E23" s="55">
        <v>0</v>
      </c>
      <c r="F23" s="59">
        <v>1667.19</v>
      </c>
    </row>
    <row r="24" spans="1:6" x14ac:dyDescent="0.2">
      <c r="A24" s="55">
        <v>11105002</v>
      </c>
      <c r="B24" s="55" t="s">
        <v>222</v>
      </c>
      <c r="C24" s="59">
        <v>2046.61</v>
      </c>
      <c r="D24" s="59">
        <v>0</v>
      </c>
      <c r="E24" s="59">
        <v>0</v>
      </c>
      <c r="F24" s="59">
        <v>2046.61</v>
      </c>
    </row>
    <row r="25" spans="1:6" x14ac:dyDescent="0.2">
      <c r="A25" s="55">
        <v>11105003</v>
      </c>
      <c r="B25" s="55" t="s">
        <v>223</v>
      </c>
      <c r="C25" s="59">
        <v>3906.38</v>
      </c>
      <c r="D25" s="59">
        <v>56.77</v>
      </c>
      <c r="E25" s="59">
        <v>3963.15</v>
      </c>
      <c r="F25" s="55">
        <v>0</v>
      </c>
    </row>
    <row r="26" spans="1:6" x14ac:dyDescent="0.2">
      <c r="A26" s="55">
        <v>11105005</v>
      </c>
      <c r="B26" s="55" t="s">
        <v>224</v>
      </c>
      <c r="C26" s="55">
        <v>0</v>
      </c>
      <c r="D26" s="59">
        <v>68798.05</v>
      </c>
      <c r="E26" s="59">
        <v>65021.22</v>
      </c>
      <c r="F26" s="59">
        <v>3776.83</v>
      </c>
    </row>
    <row r="27" spans="1:6" x14ac:dyDescent="0.2">
      <c r="A27" s="55">
        <v>11105008</v>
      </c>
      <c r="B27" s="55" t="s">
        <v>225</v>
      </c>
      <c r="C27" s="59">
        <v>0</v>
      </c>
      <c r="D27" s="59">
        <v>201757.17</v>
      </c>
      <c r="E27" s="59">
        <v>198804.18</v>
      </c>
      <c r="F27" s="59">
        <v>2952.99</v>
      </c>
    </row>
    <row r="28" spans="1:6" x14ac:dyDescent="0.2">
      <c r="A28" s="55">
        <v>11105010</v>
      </c>
      <c r="B28" s="55" t="s">
        <v>226</v>
      </c>
      <c r="C28" s="55">
        <v>0.74</v>
      </c>
      <c r="D28" s="59">
        <v>4821.41</v>
      </c>
      <c r="E28" s="59">
        <v>4822.1499999999996</v>
      </c>
      <c r="F28" s="55">
        <v>0</v>
      </c>
    </row>
    <row r="29" spans="1:6" x14ac:dyDescent="0.2">
      <c r="A29" s="55">
        <v>11105012</v>
      </c>
      <c r="B29" s="55" t="s">
        <v>227</v>
      </c>
      <c r="C29" s="55">
        <v>0</v>
      </c>
      <c r="D29" s="59">
        <v>24183.3</v>
      </c>
      <c r="E29" s="59">
        <v>22269.15</v>
      </c>
      <c r="F29" s="59">
        <v>1914.15</v>
      </c>
    </row>
    <row r="30" spans="1:6" x14ac:dyDescent="0.2">
      <c r="A30" s="55">
        <v>11105013</v>
      </c>
      <c r="B30" s="55" t="s">
        <v>228</v>
      </c>
      <c r="C30" s="55">
        <v>0</v>
      </c>
      <c r="D30" s="59">
        <v>5035.32</v>
      </c>
      <c r="E30" s="59">
        <v>5035.32</v>
      </c>
      <c r="F30" s="55">
        <v>0</v>
      </c>
    </row>
    <row r="31" spans="1:6" x14ac:dyDescent="0.2">
      <c r="D31" s="59"/>
      <c r="E31" s="59"/>
    </row>
    <row r="32" spans="1:6" x14ac:dyDescent="0.2">
      <c r="A32" s="55">
        <v>112</v>
      </c>
      <c r="B32" s="55" t="s">
        <v>95</v>
      </c>
      <c r="C32" s="55">
        <v>394.12</v>
      </c>
      <c r="D32" s="59">
        <v>65146.32</v>
      </c>
      <c r="E32" s="59">
        <v>62562.9</v>
      </c>
      <c r="F32" s="59">
        <v>2977.54</v>
      </c>
    </row>
    <row r="33" spans="1:6" x14ac:dyDescent="0.2">
      <c r="A33" s="55">
        <v>11203</v>
      </c>
      <c r="B33" s="55" t="s">
        <v>96</v>
      </c>
      <c r="C33" s="55">
        <v>0</v>
      </c>
      <c r="D33" s="59">
        <v>40000</v>
      </c>
      <c r="E33" s="59">
        <v>40000</v>
      </c>
      <c r="F33" s="55">
        <v>0</v>
      </c>
    </row>
    <row r="34" spans="1:6" x14ac:dyDescent="0.2">
      <c r="A34" s="55">
        <v>11203004</v>
      </c>
      <c r="B34" s="55" t="s">
        <v>97</v>
      </c>
      <c r="C34" s="55">
        <v>0</v>
      </c>
      <c r="D34" s="59">
        <v>40000</v>
      </c>
      <c r="E34" s="59">
        <v>40000</v>
      </c>
      <c r="F34" s="55">
        <v>0</v>
      </c>
    </row>
    <row r="36" spans="1:6" x14ac:dyDescent="0.2">
      <c r="A36" s="55">
        <v>11207</v>
      </c>
      <c r="B36" s="55" t="s">
        <v>229</v>
      </c>
      <c r="C36" s="55">
        <v>0</v>
      </c>
      <c r="D36" s="59">
        <v>17944.990000000002</v>
      </c>
      <c r="E36" s="59">
        <v>17944.990000000002</v>
      </c>
      <c r="F36" s="59">
        <v>0</v>
      </c>
    </row>
    <row r="37" spans="1:6" x14ac:dyDescent="0.2">
      <c r="A37" s="55">
        <v>11207001</v>
      </c>
      <c r="B37" s="55" t="s">
        <v>99</v>
      </c>
      <c r="C37" s="55">
        <v>0</v>
      </c>
      <c r="D37" s="59">
        <v>6571.73</v>
      </c>
      <c r="E37" s="59">
        <v>6571.73</v>
      </c>
      <c r="F37" s="59">
        <v>0</v>
      </c>
    </row>
    <row r="38" spans="1:6" x14ac:dyDescent="0.2">
      <c r="A38" s="55">
        <v>11207002</v>
      </c>
      <c r="B38" s="55" t="s">
        <v>100</v>
      </c>
      <c r="C38" s="55">
        <v>0</v>
      </c>
      <c r="D38" s="59">
        <v>11328.45</v>
      </c>
      <c r="E38" s="59">
        <v>11328.45</v>
      </c>
      <c r="F38" s="55">
        <v>0</v>
      </c>
    </row>
    <row r="39" spans="1:6" x14ac:dyDescent="0.2">
      <c r="A39" s="55">
        <v>11207005</v>
      </c>
      <c r="B39" s="55" t="s">
        <v>101</v>
      </c>
      <c r="C39" s="59">
        <v>0</v>
      </c>
      <c r="D39" s="59">
        <v>44.81</v>
      </c>
      <c r="E39" s="59">
        <v>44.81</v>
      </c>
      <c r="F39" s="59">
        <v>0</v>
      </c>
    </row>
    <row r="40" spans="1:6" x14ac:dyDescent="0.2">
      <c r="C40" s="59"/>
      <c r="E40" s="59"/>
    </row>
    <row r="41" spans="1:6" x14ac:dyDescent="0.2">
      <c r="A41" s="55">
        <v>11213</v>
      </c>
      <c r="B41" s="55" t="s">
        <v>230</v>
      </c>
      <c r="C41" s="59">
        <v>394.12</v>
      </c>
      <c r="D41" s="59">
        <v>2701.33</v>
      </c>
      <c r="E41" s="59">
        <v>2517.91</v>
      </c>
      <c r="F41" s="59">
        <v>577.54</v>
      </c>
    </row>
    <row r="42" spans="1:6" x14ac:dyDescent="0.2">
      <c r="A42" s="55">
        <v>11213006</v>
      </c>
      <c r="B42" s="55" t="s">
        <v>231</v>
      </c>
      <c r="C42" s="59">
        <v>394.12</v>
      </c>
      <c r="D42" s="59">
        <v>2701.33</v>
      </c>
      <c r="E42" s="59">
        <v>2517.91</v>
      </c>
      <c r="F42" s="59">
        <v>577.54</v>
      </c>
    </row>
    <row r="43" spans="1:6" x14ac:dyDescent="0.2">
      <c r="C43" s="59"/>
      <c r="D43" s="59"/>
      <c r="F43" s="59"/>
    </row>
    <row r="44" spans="1:6" x14ac:dyDescent="0.2">
      <c r="A44" s="55">
        <v>11214</v>
      </c>
      <c r="B44" s="55" t="s">
        <v>232</v>
      </c>
      <c r="C44" s="55">
        <v>0</v>
      </c>
      <c r="D44" s="59">
        <v>4500</v>
      </c>
      <c r="E44" s="59">
        <v>2100</v>
      </c>
      <c r="F44" s="59">
        <v>2400</v>
      </c>
    </row>
    <row r="45" spans="1:6" x14ac:dyDescent="0.2">
      <c r="A45" s="55">
        <v>11214001</v>
      </c>
      <c r="B45" s="55" t="s">
        <v>233</v>
      </c>
      <c r="C45" s="55">
        <v>0</v>
      </c>
      <c r="D45" s="59">
        <v>4500</v>
      </c>
      <c r="E45" s="59">
        <v>2100</v>
      </c>
      <c r="F45" s="59">
        <v>2400</v>
      </c>
    </row>
    <row r="47" spans="1:6" x14ac:dyDescent="0.2">
      <c r="A47" s="55">
        <v>13</v>
      </c>
      <c r="B47" s="55" t="s">
        <v>234</v>
      </c>
      <c r="C47" s="59">
        <v>27165.72</v>
      </c>
      <c r="D47" s="59">
        <v>8660.7999999999993</v>
      </c>
      <c r="E47" s="59">
        <v>13333.26</v>
      </c>
      <c r="F47" s="59">
        <v>22493.26</v>
      </c>
    </row>
    <row r="48" spans="1:6" x14ac:dyDescent="0.2">
      <c r="D48" s="59"/>
      <c r="E48" s="59"/>
    </row>
    <row r="49" spans="1:6" x14ac:dyDescent="0.2">
      <c r="A49" s="55">
        <v>132</v>
      </c>
      <c r="B49" s="55" t="s">
        <v>104</v>
      </c>
      <c r="C49" s="59">
        <v>27165.72</v>
      </c>
      <c r="D49" s="59">
        <v>8660.7999999999993</v>
      </c>
      <c r="E49" s="59">
        <v>13333.26</v>
      </c>
      <c r="F49" s="59">
        <v>22493.26</v>
      </c>
    </row>
    <row r="50" spans="1:6" x14ac:dyDescent="0.2">
      <c r="D50" s="59"/>
      <c r="E50" s="59"/>
    </row>
    <row r="51" spans="1:6" x14ac:dyDescent="0.2">
      <c r="A51" s="55">
        <v>13201</v>
      </c>
      <c r="B51" s="55" t="s">
        <v>235</v>
      </c>
      <c r="C51" s="59">
        <v>41367.61</v>
      </c>
      <c r="D51" s="59">
        <v>2285.8000000000002</v>
      </c>
      <c r="E51" s="59">
        <v>7500</v>
      </c>
      <c r="F51" s="59">
        <v>36153.410000000003</v>
      </c>
    </row>
    <row r="52" spans="1:6" x14ac:dyDescent="0.2">
      <c r="A52" s="55">
        <v>13201004</v>
      </c>
      <c r="B52" s="55" t="s">
        <v>105</v>
      </c>
      <c r="C52" s="59">
        <v>3395.6</v>
      </c>
      <c r="D52" s="55">
        <v>0</v>
      </c>
      <c r="E52" s="55">
        <v>0</v>
      </c>
      <c r="F52" s="59">
        <v>3395.6</v>
      </c>
    </row>
    <row r="53" spans="1:6" x14ac:dyDescent="0.2">
      <c r="A53" s="55">
        <v>13201006</v>
      </c>
      <c r="B53" s="55" t="s">
        <v>106</v>
      </c>
      <c r="C53" s="59">
        <v>1260</v>
      </c>
      <c r="D53" s="55">
        <v>0</v>
      </c>
      <c r="E53" s="55">
        <v>0</v>
      </c>
      <c r="F53" s="59">
        <v>1260</v>
      </c>
    </row>
    <row r="54" spans="1:6" x14ac:dyDescent="0.2">
      <c r="A54" s="55">
        <v>13201008</v>
      </c>
      <c r="B54" s="55" t="s">
        <v>107</v>
      </c>
      <c r="C54" s="55">
        <v>379.99</v>
      </c>
      <c r="D54" s="59">
        <v>989</v>
      </c>
      <c r="E54" s="59">
        <v>0</v>
      </c>
      <c r="F54" s="59">
        <v>1368.99</v>
      </c>
    </row>
    <row r="55" spans="1:6" x14ac:dyDescent="0.2">
      <c r="A55" s="55">
        <v>13201010</v>
      </c>
      <c r="B55" s="55" t="s">
        <v>108</v>
      </c>
      <c r="C55" s="59">
        <v>14832.02</v>
      </c>
      <c r="D55" s="59">
        <v>1296.8</v>
      </c>
      <c r="E55" s="59">
        <v>0</v>
      </c>
      <c r="F55" s="59">
        <v>16128.82</v>
      </c>
    </row>
    <row r="56" spans="1:6" x14ac:dyDescent="0.2">
      <c r="A56" s="55">
        <v>13201012</v>
      </c>
      <c r="B56" s="55" t="s">
        <v>109</v>
      </c>
      <c r="C56" s="59">
        <v>21500</v>
      </c>
      <c r="D56" s="55">
        <v>0</v>
      </c>
      <c r="E56" s="59">
        <v>7500</v>
      </c>
      <c r="F56" s="59">
        <v>14000</v>
      </c>
    </row>
    <row r="57" spans="1:6" x14ac:dyDescent="0.2">
      <c r="C57" s="59"/>
      <c r="D57" s="59"/>
      <c r="E57" s="59"/>
      <c r="F57" s="59"/>
    </row>
    <row r="58" spans="1:6" x14ac:dyDescent="0.2">
      <c r="A58" s="55">
        <v>13202</v>
      </c>
      <c r="B58" s="55" t="s">
        <v>236</v>
      </c>
      <c r="C58" s="59">
        <v>-14201.89</v>
      </c>
      <c r="D58" s="59">
        <v>6375</v>
      </c>
      <c r="E58" s="59">
        <v>5833.26</v>
      </c>
      <c r="F58" s="59">
        <v>-13660.15</v>
      </c>
    </row>
    <row r="59" spans="1:6" x14ac:dyDescent="0.2">
      <c r="A59" s="55">
        <v>13202002</v>
      </c>
      <c r="B59" s="55" t="s">
        <v>105</v>
      </c>
      <c r="C59" s="59">
        <v>-966.39</v>
      </c>
      <c r="D59" s="59">
        <v>0</v>
      </c>
      <c r="E59" s="59">
        <v>679.08</v>
      </c>
      <c r="F59" s="59">
        <v>-1645.47</v>
      </c>
    </row>
    <row r="60" spans="1:6" x14ac:dyDescent="0.2">
      <c r="A60" s="55">
        <v>13202004</v>
      </c>
      <c r="B60" s="55" t="s">
        <v>106</v>
      </c>
      <c r="C60" s="55">
        <v>-94.5</v>
      </c>
      <c r="D60" s="55">
        <v>0</v>
      </c>
      <c r="E60" s="55">
        <v>126</v>
      </c>
      <c r="F60" s="55">
        <v>-220.5</v>
      </c>
    </row>
    <row r="61" spans="1:6" x14ac:dyDescent="0.2">
      <c r="A61" s="55">
        <v>13202006</v>
      </c>
      <c r="B61" s="55" t="s">
        <v>107</v>
      </c>
      <c r="C61" s="59">
        <v>-129.83000000000001</v>
      </c>
      <c r="D61" s="59">
        <v>0</v>
      </c>
      <c r="E61" s="59">
        <v>136.91999999999999</v>
      </c>
      <c r="F61" s="59">
        <v>-266.75</v>
      </c>
    </row>
    <row r="62" spans="1:6" x14ac:dyDescent="0.2">
      <c r="A62" s="55">
        <v>13202007</v>
      </c>
      <c r="B62" s="55" t="s">
        <v>108</v>
      </c>
      <c r="C62" s="59">
        <v>-1536.17</v>
      </c>
      <c r="D62" s="59">
        <v>0</v>
      </c>
      <c r="E62" s="59">
        <v>1591.3</v>
      </c>
      <c r="F62" s="59">
        <v>-3127.47</v>
      </c>
    </row>
    <row r="63" spans="1:6" x14ac:dyDescent="0.2">
      <c r="A63" s="55">
        <v>13202009</v>
      </c>
      <c r="B63" s="55" t="s">
        <v>109</v>
      </c>
      <c r="C63" s="59">
        <v>-11475</v>
      </c>
      <c r="D63" s="59">
        <v>6375</v>
      </c>
      <c r="E63" s="59">
        <v>3299.96</v>
      </c>
      <c r="F63" s="59">
        <v>-8399.9599999999991</v>
      </c>
    </row>
    <row r="64" spans="1:6" x14ac:dyDescent="0.2">
      <c r="D64" s="59"/>
      <c r="E64" s="59"/>
    </row>
    <row r="65" spans="1:6" x14ac:dyDescent="0.2">
      <c r="A65" s="55">
        <v>2</v>
      </c>
      <c r="B65" s="55" t="s">
        <v>237</v>
      </c>
      <c r="C65" s="59">
        <v>-40024.83</v>
      </c>
      <c r="D65" s="59">
        <v>1223094.43</v>
      </c>
      <c r="E65" s="59">
        <v>1224717.6399999999</v>
      </c>
      <c r="F65" s="59">
        <v>-41648.04</v>
      </c>
    </row>
    <row r="66" spans="1:6" x14ac:dyDescent="0.2">
      <c r="D66" s="59"/>
      <c r="E66" s="59"/>
      <c r="F66" s="59"/>
    </row>
    <row r="67" spans="1:6" x14ac:dyDescent="0.2">
      <c r="A67" s="55">
        <v>21</v>
      </c>
      <c r="B67" s="55" t="s">
        <v>90</v>
      </c>
      <c r="C67" s="59">
        <v>-46272.67</v>
      </c>
      <c r="D67" s="59">
        <v>669323.07999999996</v>
      </c>
      <c r="E67" s="59">
        <v>667544.31000000006</v>
      </c>
      <c r="F67" s="59">
        <v>-44493.9</v>
      </c>
    </row>
    <row r="68" spans="1:6" x14ac:dyDescent="0.2">
      <c r="D68" s="59"/>
      <c r="E68" s="59"/>
      <c r="F68" s="59"/>
    </row>
    <row r="69" spans="1:6" x14ac:dyDescent="0.2">
      <c r="A69" s="55">
        <v>211</v>
      </c>
      <c r="B69" s="55" t="s">
        <v>238</v>
      </c>
      <c r="C69" s="59">
        <v>-4142.6499999999996</v>
      </c>
      <c r="D69" s="59">
        <v>4672.0600000000004</v>
      </c>
      <c r="E69" s="59">
        <v>837.26</v>
      </c>
      <c r="F69" s="55">
        <v>-307.85000000000002</v>
      </c>
    </row>
    <row r="71" spans="1:6" x14ac:dyDescent="0.2">
      <c r="A71" s="55">
        <v>21102</v>
      </c>
      <c r="B71" s="55" t="s">
        <v>239</v>
      </c>
      <c r="C71" s="59">
        <v>-4142.6499999999996</v>
      </c>
      <c r="D71" s="59">
        <v>4672.0600000000004</v>
      </c>
      <c r="E71" s="59">
        <v>837.26</v>
      </c>
      <c r="F71" s="59">
        <v>-307.85000000000002</v>
      </c>
    </row>
    <row r="72" spans="1:6" x14ac:dyDescent="0.2">
      <c r="A72" s="55">
        <v>21102001</v>
      </c>
      <c r="B72" s="55" t="s">
        <v>240</v>
      </c>
      <c r="C72" s="59">
        <v>-4142.6499999999996</v>
      </c>
      <c r="D72" s="59">
        <v>4142.6499999999996</v>
      </c>
      <c r="E72" s="55">
        <v>0</v>
      </c>
      <c r="F72" s="55">
        <v>0</v>
      </c>
    </row>
    <row r="73" spans="1:6" x14ac:dyDescent="0.2">
      <c r="A73" s="55">
        <v>21102003</v>
      </c>
      <c r="B73" s="55" t="s">
        <v>110</v>
      </c>
      <c r="C73" s="59">
        <v>0</v>
      </c>
      <c r="D73" s="59">
        <v>529.41</v>
      </c>
      <c r="E73" s="59">
        <v>529.41</v>
      </c>
      <c r="F73" s="59">
        <v>0</v>
      </c>
    </row>
    <row r="74" spans="1:6" x14ac:dyDescent="0.2">
      <c r="A74" s="55">
        <v>21102004</v>
      </c>
      <c r="B74" s="55" t="s">
        <v>219</v>
      </c>
      <c r="C74" s="55">
        <v>0</v>
      </c>
      <c r="D74" s="59">
        <v>0</v>
      </c>
      <c r="E74" s="59">
        <v>307.85000000000002</v>
      </c>
      <c r="F74" s="55">
        <v>-307.85000000000002</v>
      </c>
    </row>
    <row r="75" spans="1:6" x14ac:dyDescent="0.2">
      <c r="D75" s="59"/>
      <c r="E75" s="59"/>
    </row>
    <row r="76" spans="1:6" x14ac:dyDescent="0.2">
      <c r="A76" s="55">
        <v>212</v>
      </c>
      <c r="B76" s="55" t="s">
        <v>241</v>
      </c>
      <c r="C76" s="55">
        <v>0</v>
      </c>
      <c r="D76" s="59">
        <v>1089</v>
      </c>
      <c r="E76" s="59">
        <v>1089</v>
      </c>
      <c r="F76" s="55">
        <v>0</v>
      </c>
    </row>
    <row r="78" spans="1:6" x14ac:dyDescent="0.2">
      <c r="A78" s="55">
        <v>21201</v>
      </c>
      <c r="B78" s="55" t="s">
        <v>111</v>
      </c>
      <c r="C78" s="55">
        <v>0</v>
      </c>
      <c r="D78" s="59">
        <v>1089</v>
      </c>
      <c r="E78" s="59">
        <v>1089</v>
      </c>
      <c r="F78" s="55">
        <v>0</v>
      </c>
    </row>
    <row r="79" spans="1:6" x14ac:dyDescent="0.2">
      <c r="A79" s="55">
        <v>21201055</v>
      </c>
      <c r="B79" s="55" t="s">
        <v>242</v>
      </c>
      <c r="C79" s="55">
        <v>0</v>
      </c>
      <c r="D79" s="59">
        <v>1089</v>
      </c>
      <c r="E79" s="59">
        <v>1089</v>
      </c>
      <c r="F79" s="59">
        <v>0</v>
      </c>
    </row>
    <row r="81" spans="1:6" x14ac:dyDescent="0.2">
      <c r="A81" s="55">
        <v>213</v>
      </c>
      <c r="B81" s="55" t="s">
        <v>243</v>
      </c>
      <c r="C81" s="59">
        <v>-6719.79</v>
      </c>
      <c r="D81" s="59">
        <v>99787.56</v>
      </c>
      <c r="E81" s="59">
        <v>99234.16</v>
      </c>
      <c r="F81" s="59">
        <v>-6166.39</v>
      </c>
    </row>
    <row r="82" spans="1:6" x14ac:dyDescent="0.2">
      <c r="D82" s="59"/>
      <c r="E82" s="59"/>
      <c r="F82" s="59"/>
    </row>
    <row r="83" spans="1:6" x14ac:dyDescent="0.2">
      <c r="A83" s="55">
        <v>21301</v>
      </c>
      <c r="B83" s="55" t="s">
        <v>244</v>
      </c>
      <c r="C83" s="59">
        <v>-6719.79</v>
      </c>
      <c r="D83" s="59">
        <v>99787.56</v>
      </c>
      <c r="E83" s="59">
        <v>99234.16</v>
      </c>
      <c r="F83" s="59">
        <v>-6166.39</v>
      </c>
    </row>
    <row r="84" spans="1:6" x14ac:dyDescent="0.2">
      <c r="A84" s="55">
        <v>21301002</v>
      </c>
      <c r="B84" s="55" t="s">
        <v>113</v>
      </c>
      <c r="C84" s="59">
        <v>-1566.17</v>
      </c>
      <c r="D84" s="59">
        <v>20550.07</v>
      </c>
      <c r="E84" s="59">
        <v>18983.900000000001</v>
      </c>
      <c r="F84" s="55">
        <v>0</v>
      </c>
    </row>
    <row r="85" spans="1:6" x14ac:dyDescent="0.2">
      <c r="A85" s="55">
        <v>21301004</v>
      </c>
      <c r="B85" s="55" t="s">
        <v>245</v>
      </c>
      <c r="C85" s="59">
        <v>-5153.62</v>
      </c>
      <c r="D85" s="59">
        <v>77375.19</v>
      </c>
      <c r="E85" s="59">
        <v>78387.960000000006</v>
      </c>
      <c r="F85" s="59">
        <v>-6166.39</v>
      </c>
    </row>
    <row r="86" spans="1:6" x14ac:dyDescent="0.2">
      <c r="A86" s="55">
        <v>21301005</v>
      </c>
      <c r="B86" s="55" t="s">
        <v>103</v>
      </c>
      <c r="C86" s="55">
        <v>0</v>
      </c>
      <c r="D86" s="55">
        <v>589.27</v>
      </c>
      <c r="E86" s="55">
        <v>589.27</v>
      </c>
      <c r="F86" s="55">
        <v>0</v>
      </c>
    </row>
    <row r="87" spans="1:6" x14ac:dyDescent="0.2">
      <c r="A87" s="55">
        <v>21301006</v>
      </c>
      <c r="B87" s="55" t="s">
        <v>246</v>
      </c>
      <c r="C87" s="55">
        <v>0</v>
      </c>
      <c r="D87" s="59">
        <v>1273.03</v>
      </c>
      <c r="E87" s="59">
        <v>1273.03</v>
      </c>
      <c r="F87" s="55">
        <v>0</v>
      </c>
    </row>
    <row r="89" spans="1:6" x14ac:dyDescent="0.2">
      <c r="A89" s="55">
        <v>214</v>
      </c>
      <c r="B89" s="55" t="s">
        <v>247</v>
      </c>
      <c r="C89" s="59">
        <v>-417.61</v>
      </c>
      <c r="D89" s="59">
        <v>3203.93</v>
      </c>
      <c r="E89" s="59">
        <v>3018.94</v>
      </c>
      <c r="F89" s="59">
        <v>-232.62</v>
      </c>
    </row>
    <row r="91" spans="1:6" x14ac:dyDescent="0.2">
      <c r="A91" s="55">
        <v>21401</v>
      </c>
      <c r="B91" s="55" t="s">
        <v>248</v>
      </c>
      <c r="C91" s="59">
        <v>-417.61</v>
      </c>
      <c r="D91" s="59">
        <v>3203.93</v>
      </c>
      <c r="E91" s="59">
        <v>3018.94</v>
      </c>
      <c r="F91" s="59">
        <v>-232.62</v>
      </c>
    </row>
    <row r="92" spans="1:6" x14ac:dyDescent="0.2">
      <c r="A92" s="55">
        <v>21401005</v>
      </c>
      <c r="B92" s="55" t="s">
        <v>249</v>
      </c>
      <c r="C92" s="55">
        <v>-168.6</v>
      </c>
      <c r="D92" s="59">
        <v>1006.97</v>
      </c>
      <c r="E92" s="59">
        <v>894.4</v>
      </c>
      <c r="F92" s="55">
        <v>-56.03</v>
      </c>
    </row>
    <row r="93" spans="1:6" x14ac:dyDescent="0.2">
      <c r="A93" s="55">
        <v>21401012</v>
      </c>
      <c r="B93" s="55" t="s">
        <v>250</v>
      </c>
      <c r="C93" s="59">
        <v>-249.01</v>
      </c>
      <c r="D93" s="59">
        <v>2196.96</v>
      </c>
      <c r="E93" s="59">
        <v>2124.54</v>
      </c>
      <c r="F93" s="59">
        <v>-176.59</v>
      </c>
    </row>
    <row r="94" spans="1:6" x14ac:dyDescent="0.2">
      <c r="D94" s="59"/>
      <c r="E94" s="59"/>
    </row>
    <row r="95" spans="1:6" x14ac:dyDescent="0.2">
      <c r="A95" s="55">
        <v>215</v>
      </c>
      <c r="B95" s="55" t="s">
        <v>114</v>
      </c>
      <c r="C95" s="59">
        <v>-34992.620000000003</v>
      </c>
      <c r="D95" s="59">
        <v>282738.63</v>
      </c>
      <c r="E95" s="59">
        <v>280547.3</v>
      </c>
      <c r="F95" s="59">
        <v>-32801.29</v>
      </c>
    </row>
    <row r="97" spans="1:6" x14ac:dyDescent="0.2">
      <c r="A97" s="55">
        <v>21501</v>
      </c>
      <c r="B97" s="55" t="s">
        <v>251</v>
      </c>
      <c r="C97" s="59">
        <v>-34992.620000000003</v>
      </c>
      <c r="D97" s="59">
        <v>275538.63</v>
      </c>
      <c r="E97" s="59">
        <v>273347.3</v>
      </c>
      <c r="F97" s="59">
        <v>-32801.29</v>
      </c>
    </row>
    <row r="98" spans="1:6" x14ac:dyDescent="0.2">
      <c r="A98" s="55">
        <v>21501002</v>
      </c>
      <c r="B98" s="55" t="s">
        <v>252</v>
      </c>
      <c r="C98" s="59">
        <v>-2081</v>
      </c>
      <c r="D98" s="59">
        <v>15454.29</v>
      </c>
      <c r="E98" s="59">
        <v>13373.29</v>
      </c>
      <c r="F98" s="55">
        <v>0</v>
      </c>
    </row>
    <row r="99" spans="1:6" x14ac:dyDescent="0.2">
      <c r="A99" s="55">
        <v>21501005</v>
      </c>
      <c r="B99" s="55" t="s">
        <v>115</v>
      </c>
      <c r="C99" s="55">
        <v>0</v>
      </c>
      <c r="D99" s="59">
        <v>12154.93</v>
      </c>
      <c r="E99" s="59">
        <v>12154.93</v>
      </c>
      <c r="F99" s="55">
        <v>0</v>
      </c>
    </row>
    <row r="100" spans="1:6" x14ac:dyDescent="0.2">
      <c r="A100" s="55">
        <v>21501006</v>
      </c>
      <c r="B100" s="55" t="s">
        <v>116</v>
      </c>
      <c r="C100" s="59">
        <v>-12168</v>
      </c>
      <c r="D100" s="59">
        <v>222616.85</v>
      </c>
      <c r="E100" s="59">
        <v>210448.85</v>
      </c>
      <c r="F100" s="55">
        <v>0</v>
      </c>
    </row>
    <row r="101" spans="1:6" x14ac:dyDescent="0.2">
      <c r="A101" s="55">
        <v>21501007</v>
      </c>
      <c r="B101" s="55" t="s">
        <v>253</v>
      </c>
      <c r="C101" s="55">
        <v>0</v>
      </c>
      <c r="D101" s="59">
        <v>15296.84</v>
      </c>
      <c r="E101" s="59">
        <v>15296.84</v>
      </c>
      <c r="F101" s="55">
        <v>0</v>
      </c>
    </row>
    <row r="102" spans="1:6" x14ac:dyDescent="0.2">
      <c r="A102" s="55">
        <v>21501008</v>
      </c>
      <c r="B102" s="55" t="s">
        <v>254</v>
      </c>
      <c r="C102" s="59">
        <v>-19543.62</v>
      </c>
      <c r="D102" s="59">
        <v>8815.7199999999993</v>
      </c>
      <c r="E102" s="59">
        <v>22073.39</v>
      </c>
      <c r="F102" s="59">
        <v>-32801.29</v>
      </c>
    </row>
    <row r="103" spans="1:6" x14ac:dyDescent="0.2">
      <c r="A103" s="55">
        <v>21501009</v>
      </c>
      <c r="B103" s="55" t="s">
        <v>255</v>
      </c>
      <c r="C103" s="59">
        <v>-1200</v>
      </c>
      <c r="D103" s="59">
        <v>1200</v>
      </c>
      <c r="E103" s="59">
        <v>0</v>
      </c>
      <c r="F103" s="55">
        <v>0</v>
      </c>
    </row>
    <row r="105" spans="1:6" x14ac:dyDescent="0.2">
      <c r="A105" s="55">
        <v>21502</v>
      </c>
      <c r="B105" s="55" t="s">
        <v>256</v>
      </c>
      <c r="C105" s="55">
        <v>0</v>
      </c>
      <c r="D105" s="59">
        <v>7200</v>
      </c>
      <c r="E105" s="59">
        <v>7200</v>
      </c>
      <c r="F105" s="55">
        <v>0</v>
      </c>
    </row>
    <row r="106" spans="1:6" x14ac:dyDescent="0.2">
      <c r="A106" s="55">
        <v>21502001</v>
      </c>
      <c r="B106" s="55" t="s">
        <v>257</v>
      </c>
      <c r="C106" s="55">
        <v>0</v>
      </c>
      <c r="D106" s="59">
        <v>7200</v>
      </c>
      <c r="E106" s="59">
        <v>7200</v>
      </c>
      <c r="F106" s="55">
        <v>0</v>
      </c>
    </row>
    <row r="108" spans="1:6" x14ac:dyDescent="0.2">
      <c r="A108" s="55">
        <v>216</v>
      </c>
      <c r="B108" s="55" t="s">
        <v>258</v>
      </c>
      <c r="C108" s="55">
        <v>0</v>
      </c>
      <c r="D108" s="59">
        <v>275193.81</v>
      </c>
      <c r="E108" s="59">
        <v>280116.32</v>
      </c>
      <c r="F108" s="59">
        <v>-4922.51</v>
      </c>
    </row>
    <row r="110" spans="1:6" x14ac:dyDescent="0.2">
      <c r="A110" s="55">
        <v>21601</v>
      </c>
      <c r="B110" s="55" t="s">
        <v>259</v>
      </c>
      <c r="C110" s="55">
        <v>0</v>
      </c>
      <c r="D110" s="55">
        <v>4.7</v>
      </c>
      <c r="E110" s="59">
        <v>280116.32</v>
      </c>
      <c r="F110" s="59">
        <v>-280111.62</v>
      </c>
    </row>
    <row r="111" spans="1:6" x14ac:dyDescent="0.2">
      <c r="A111" s="55">
        <v>21601001</v>
      </c>
      <c r="B111" s="55" t="s">
        <v>97</v>
      </c>
      <c r="C111" s="55">
        <v>0</v>
      </c>
      <c r="D111" s="55">
        <v>4.7</v>
      </c>
      <c r="E111" s="59">
        <v>280116.32</v>
      </c>
      <c r="F111" s="59">
        <v>-280111.62</v>
      </c>
    </row>
    <row r="113" spans="1:6" x14ac:dyDescent="0.2">
      <c r="A113" s="55">
        <v>21602</v>
      </c>
      <c r="B113" s="55" t="s">
        <v>260</v>
      </c>
      <c r="C113" s="55">
        <v>0</v>
      </c>
      <c r="D113" s="59">
        <v>275189.11</v>
      </c>
      <c r="E113" s="59">
        <v>0</v>
      </c>
      <c r="F113" s="59">
        <v>275189.11</v>
      </c>
    </row>
    <row r="114" spans="1:6" x14ac:dyDescent="0.2">
      <c r="A114" s="55">
        <v>21602001</v>
      </c>
      <c r="B114" s="55" t="s">
        <v>261</v>
      </c>
      <c r="C114" s="55">
        <v>0</v>
      </c>
      <c r="D114" s="59">
        <v>275189.11</v>
      </c>
      <c r="E114" s="55">
        <v>0</v>
      </c>
      <c r="F114" s="59">
        <v>275189.11</v>
      </c>
    </row>
    <row r="115" spans="1:6" x14ac:dyDescent="0.2">
      <c r="D115" s="59"/>
      <c r="E115" s="59"/>
      <c r="F115" s="59"/>
    </row>
    <row r="116" spans="1:6" x14ac:dyDescent="0.2">
      <c r="A116" s="55">
        <v>218</v>
      </c>
      <c r="B116" s="55" t="s">
        <v>262</v>
      </c>
      <c r="C116" s="55">
        <v>0</v>
      </c>
      <c r="D116" s="59">
        <v>2638.09</v>
      </c>
      <c r="E116" s="59">
        <v>2701.33</v>
      </c>
      <c r="F116" s="55">
        <v>-63.24</v>
      </c>
    </row>
    <row r="117" spans="1:6" x14ac:dyDescent="0.2">
      <c r="A117" s="55">
        <v>21802</v>
      </c>
      <c r="B117" s="55" t="s">
        <v>112</v>
      </c>
      <c r="C117" s="55">
        <v>0</v>
      </c>
      <c r="D117" s="59">
        <v>2638.09</v>
      </c>
      <c r="E117" s="59">
        <v>2701.33</v>
      </c>
      <c r="F117" s="59">
        <v>-63.24</v>
      </c>
    </row>
    <row r="118" spans="1:6" x14ac:dyDescent="0.2">
      <c r="A118" s="55">
        <v>21802001</v>
      </c>
      <c r="B118" s="55" t="s">
        <v>112</v>
      </c>
      <c r="C118" s="55">
        <v>0</v>
      </c>
      <c r="D118" s="59">
        <v>2638.09</v>
      </c>
      <c r="E118" s="59">
        <v>2701.33</v>
      </c>
      <c r="F118" s="55">
        <v>-63.24</v>
      </c>
    </row>
    <row r="119" spans="1:6" x14ac:dyDescent="0.2">
      <c r="D119" s="59"/>
      <c r="E119" s="59"/>
    </row>
    <row r="120" spans="1:6" x14ac:dyDescent="0.2">
      <c r="A120" s="55">
        <v>23</v>
      </c>
      <c r="B120" s="55" t="s">
        <v>263</v>
      </c>
      <c r="C120" s="59">
        <v>6247.84</v>
      </c>
      <c r="D120" s="59">
        <v>553771.35</v>
      </c>
      <c r="E120" s="59">
        <v>557173.32999999996</v>
      </c>
      <c r="F120" s="59">
        <v>2845.86</v>
      </c>
    </row>
    <row r="121" spans="1:6" x14ac:dyDescent="0.2">
      <c r="C121" s="59"/>
      <c r="F121" s="59"/>
    </row>
    <row r="122" spans="1:6" x14ac:dyDescent="0.2">
      <c r="A122" s="55">
        <v>232</v>
      </c>
      <c r="B122" s="55" t="s">
        <v>264</v>
      </c>
      <c r="C122" s="59">
        <v>6247.84</v>
      </c>
      <c r="D122" s="59">
        <v>553771.35</v>
      </c>
      <c r="E122" s="59">
        <v>557173.32999999996</v>
      </c>
      <c r="F122" s="59">
        <v>2845.86</v>
      </c>
    </row>
    <row r="123" spans="1:6" x14ac:dyDescent="0.2">
      <c r="C123" s="59"/>
      <c r="F123" s="59"/>
    </row>
    <row r="124" spans="1:6" x14ac:dyDescent="0.2">
      <c r="A124" s="55">
        <v>23201</v>
      </c>
      <c r="B124" s="55" t="s">
        <v>119</v>
      </c>
      <c r="C124" s="59">
        <v>-33726.339999999997</v>
      </c>
      <c r="D124" s="59">
        <v>553771.35</v>
      </c>
      <c r="E124" s="59">
        <v>557173.32999999996</v>
      </c>
      <c r="F124" s="59">
        <v>-37128.32</v>
      </c>
    </row>
    <row r="125" spans="1:6" x14ac:dyDescent="0.2">
      <c r="A125" s="55">
        <v>23201001</v>
      </c>
      <c r="B125" s="55" t="s">
        <v>265</v>
      </c>
      <c r="C125" s="59">
        <v>-33726.339999999997</v>
      </c>
      <c r="D125" s="59">
        <v>0</v>
      </c>
      <c r="E125" s="59">
        <v>3401.98</v>
      </c>
      <c r="F125" s="59">
        <v>-37128.32</v>
      </c>
    </row>
    <row r="126" spans="1:6" x14ac:dyDescent="0.2">
      <c r="A126" s="55">
        <v>23201002</v>
      </c>
      <c r="B126" s="55" t="s">
        <v>266</v>
      </c>
      <c r="C126" s="59">
        <v>0</v>
      </c>
      <c r="D126" s="59">
        <v>553771.35</v>
      </c>
      <c r="E126" s="59">
        <v>553771.35</v>
      </c>
      <c r="F126" s="59">
        <v>0</v>
      </c>
    </row>
    <row r="127" spans="1:6" x14ac:dyDescent="0.2">
      <c r="C127" s="59"/>
      <c r="F127" s="59"/>
    </row>
    <row r="128" spans="1:6" x14ac:dyDescent="0.2">
      <c r="A128" s="55">
        <v>23202</v>
      </c>
      <c r="B128" s="55" t="s">
        <v>120</v>
      </c>
      <c r="C128" s="59">
        <v>39974.18</v>
      </c>
      <c r="D128" s="55">
        <v>0</v>
      </c>
      <c r="E128" s="55">
        <v>0</v>
      </c>
      <c r="F128" s="59">
        <v>39974.18</v>
      </c>
    </row>
    <row r="129" spans="1:6" x14ac:dyDescent="0.2">
      <c r="A129" s="55">
        <v>23202002</v>
      </c>
      <c r="B129" s="55" t="s">
        <v>266</v>
      </c>
      <c r="C129" s="59">
        <v>39974.18</v>
      </c>
      <c r="D129" s="55">
        <v>0</v>
      </c>
      <c r="E129" s="55">
        <v>0</v>
      </c>
      <c r="F129" s="59">
        <v>39974.18</v>
      </c>
    </row>
    <row r="131" spans="1:6" x14ac:dyDescent="0.2">
      <c r="A131" s="55">
        <v>3</v>
      </c>
      <c r="B131" s="55" t="s">
        <v>121</v>
      </c>
      <c r="C131" s="59">
        <v>0</v>
      </c>
      <c r="D131" s="59">
        <v>553861.37</v>
      </c>
      <c r="E131" s="59">
        <v>553861.37</v>
      </c>
      <c r="F131" s="59">
        <v>0</v>
      </c>
    </row>
    <row r="132" spans="1:6" x14ac:dyDescent="0.2">
      <c r="C132" s="59"/>
      <c r="F132" s="59"/>
    </row>
    <row r="133" spans="1:6" x14ac:dyDescent="0.2">
      <c r="A133" s="55">
        <v>31</v>
      </c>
      <c r="B133" s="55" t="s">
        <v>267</v>
      </c>
      <c r="C133" s="59">
        <v>0</v>
      </c>
      <c r="D133" s="59">
        <v>549166.36</v>
      </c>
      <c r="E133" s="59">
        <v>549166.36</v>
      </c>
      <c r="F133" s="59">
        <v>0</v>
      </c>
    </row>
    <row r="134" spans="1:6" x14ac:dyDescent="0.2">
      <c r="C134" s="59"/>
      <c r="E134" s="59"/>
      <c r="F134" s="59"/>
    </row>
    <row r="135" spans="1:6" x14ac:dyDescent="0.2">
      <c r="A135" s="55">
        <v>311</v>
      </c>
      <c r="B135" s="55" t="s">
        <v>268</v>
      </c>
      <c r="C135" s="59">
        <v>0</v>
      </c>
      <c r="D135" s="59">
        <v>549166.36</v>
      </c>
      <c r="E135" s="59">
        <v>549166.36</v>
      </c>
      <c r="F135" s="59">
        <v>0</v>
      </c>
    </row>
    <row r="136" spans="1:6" x14ac:dyDescent="0.2">
      <c r="C136" s="59"/>
      <c r="D136" s="59"/>
      <c r="F136" s="59"/>
    </row>
    <row r="137" spans="1:6" x14ac:dyDescent="0.2">
      <c r="A137" s="55">
        <v>31101</v>
      </c>
      <c r="B137" s="55" t="s">
        <v>122</v>
      </c>
      <c r="C137" s="59">
        <v>0</v>
      </c>
      <c r="D137" s="59">
        <v>154906.85</v>
      </c>
      <c r="E137" s="59">
        <v>154906.85</v>
      </c>
      <c r="F137" s="59">
        <v>0</v>
      </c>
    </row>
    <row r="138" spans="1:6" x14ac:dyDescent="0.2">
      <c r="A138" s="55">
        <v>31101003</v>
      </c>
      <c r="B138" s="55" t="s">
        <v>269</v>
      </c>
      <c r="C138" s="59">
        <v>0</v>
      </c>
      <c r="D138" s="59">
        <v>86945.72</v>
      </c>
      <c r="E138" s="59">
        <v>86945.72</v>
      </c>
      <c r="F138" s="59">
        <v>0</v>
      </c>
    </row>
    <row r="139" spans="1:6" x14ac:dyDescent="0.2">
      <c r="A139" s="55">
        <v>31101004</v>
      </c>
      <c r="B139" s="55" t="s">
        <v>270</v>
      </c>
      <c r="C139" s="59">
        <v>0</v>
      </c>
      <c r="D139" s="59">
        <v>67961.13</v>
      </c>
      <c r="E139" s="59">
        <v>67961.13</v>
      </c>
      <c r="F139" s="59">
        <v>0</v>
      </c>
    </row>
    <row r="140" spans="1:6" x14ac:dyDescent="0.2">
      <c r="F140" s="59"/>
    </row>
    <row r="141" spans="1:6" x14ac:dyDescent="0.2">
      <c r="A141" s="55">
        <v>31102</v>
      </c>
      <c r="B141" s="55" t="s">
        <v>123</v>
      </c>
      <c r="C141" s="55">
        <v>0</v>
      </c>
      <c r="D141" s="59">
        <v>305412.11</v>
      </c>
      <c r="E141" s="59">
        <v>305412.11</v>
      </c>
      <c r="F141" s="55">
        <v>0</v>
      </c>
    </row>
    <row r="142" spans="1:6" x14ac:dyDescent="0.2">
      <c r="A142" s="55">
        <v>31102011</v>
      </c>
      <c r="B142" s="55" t="s">
        <v>271</v>
      </c>
      <c r="C142" s="55">
        <v>0</v>
      </c>
      <c r="D142" s="59">
        <v>299952.11</v>
      </c>
      <c r="E142" s="59">
        <v>299952.11</v>
      </c>
      <c r="F142" s="55">
        <v>0</v>
      </c>
    </row>
    <row r="143" spans="1:6" x14ac:dyDescent="0.2">
      <c r="A143" s="55">
        <v>31102013</v>
      </c>
      <c r="B143" s="55" t="s">
        <v>272</v>
      </c>
      <c r="C143" s="55">
        <v>0</v>
      </c>
      <c r="D143" s="59">
        <v>5460</v>
      </c>
      <c r="E143" s="59">
        <v>5460</v>
      </c>
      <c r="F143" s="55">
        <v>0</v>
      </c>
    </row>
    <row r="145" spans="1:6" x14ac:dyDescent="0.2">
      <c r="A145" s="55">
        <v>31106</v>
      </c>
      <c r="B145" s="55" t="s">
        <v>124</v>
      </c>
      <c r="C145" s="55">
        <v>0</v>
      </c>
      <c r="D145" s="59">
        <v>34641.94</v>
      </c>
      <c r="E145" s="59">
        <v>34641.94</v>
      </c>
      <c r="F145" s="55">
        <v>0</v>
      </c>
    </row>
    <row r="146" spans="1:6" x14ac:dyDescent="0.2">
      <c r="A146" s="55">
        <v>31106003</v>
      </c>
      <c r="B146" s="55" t="s">
        <v>98</v>
      </c>
      <c r="C146" s="55">
        <v>0</v>
      </c>
      <c r="D146" s="59">
        <v>13757.45</v>
      </c>
      <c r="E146" s="59">
        <v>13757.45</v>
      </c>
      <c r="F146" s="55">
        <v>0</v>
      </c>
    </row>
    <row r="147" spans="1:6" x14ac:dyDescent="0.2">
      <c r="A147" s="55">
        <v>31106008</v>
      </c>
      <c r="B147" s="55" t="s">
        <v>273</v>
      </c>
      <c r="C147" s="55">
        <v>0</v>
      </c>
      <c r="D147" s="59">
        <v>9959.0400000000009</v>
      </c>
      <c r="E147" s="59">
        <v>9959.0400000000009</v>
      </c>
      <c r="F147" s="55">
        <v>0</v>
      </c>
    </row>
    <row r="148" spans="1:6" x14ac:dyDescent="0.2">
      <c r="A148" s="55">
        <v>31106011</v>
      </c>
      <c r="B148" s="55" t="s">
        <v>274</v>
      </c>
      <c r="C148" s="55">
        <v>0</v>
      </c>
      <c r="D148" s="59">
        <v>10925.45</v>
      </c>
      <c r="E148" s="59">
        <v>10925.45</v>
      </c>
      <c r="F148" s="55">
        <v>0</v>
      </c>
    </row>
    <row r="150" spans="1:6" x14ac:dyDescent="0.2">
      <c r="A150" s="55">
        <v>31115</v>
      </c>
      <c r="B150" s="55" t="s">
        <v>127</v>
      </c>
      <c r="C150" s="59">
        <v>0</v>
      </c>
      <c r="D150" s="59">
        <v>54205.46</v>
      </c>
      <c r="E150" s="59">
        <v>54205.46</v>
      </c>
      <c r="F150" s="59">
        <v>0</v>
      </c>
    </row>
    <row r="151" spans="1:6" x14ac:dyDescent="0.2">
      <c r="A151" s="55">
        <v>31115001</v>
      </c>
      <c r="B151" s="55" t="s">
        <v>275</v>
      </c>
      <c r="C151" s="55">
        <v>0</v>
      </c>
      <c r="D151" s="59">
        <v>54205.46</v>
      </c>
      <c r="E151" s="59">
        <v>54205.46</v>
      </c>
      <c r="F151" s="55">
        <v>0</v>
      </c>
    </row>
    <row r="152" spans="1:6" x14ac:dyDescent="0.2">
      <c r="C152" s="59"/>
      <c r="D152" s="59"/>
      <c r="E152" s="59"/>
      <c r="F152" s="59"/>
    </row>
    <row r="153" spans="1:6" x14ac:dyDescent="0.2">
      <c r="A153" s="55">
        <v>32</v>
      </c>
      <c r="B153" s="55" t="s">
        <v>125</v>
      </c>
      <c r="C153" s="55">
        <v>0</v>
      </c>
      <c r="D153" s="55">
        <v>195.01</v>
      </c>
      <c r="E153" s="55">
        <v>195.01</v>
      </c>
      <c r="F153" s="55">
        <v>0</v>
      </c>
    </row>
    <row r="155" spans="1:6" x14ac:dyDescent="0.2">
      <c r="A155" s="55">
        <v>321</v>
      </c>
      <c r="B155" s="55" t="s">
        <v>276</v>
      </c>
      <c r="C155" s="55">
        <v>0</v>
      </c>
      <c r="D155" s="55">
        <v>195.01</v>
      </c>
      <c r="E155" s="55">
        <v>195.01</v>
      </c>
      <c r="F155" s="55">
        <v>0</v>
      </c>
    </row>
    <row r="157" spans="1:6" x14ac:dyDescent="0.2">
      <c r="A157" s="55">
        <v>32101</v>
      </c>
      <c r="B157" s="55" t="s">
        <v>126</v>
      </c>
      <c r="C157" s="55">
        <v>0</v>
      </c>
      <c r="D157" s="55">
        <v>195.01</v>
      </c>
      <c r="E157" s="55">
        <v>195.01</v>
      </c>
      <c r="F157" s="55">
        <v>0</v>
      </c>
    </row>
    <row r="158" spans="1:6" x14ac:dyDescent="0.2">
      <c r="A158" s="55">
        <v>32101001</v>
      </c>
      <c r="B158" s="55" t="s">
        <v>277</v>
      </c>
      <c r="C158" s="55">
        <v>0</v>
      </c>
      <c r="D158" s="55">
        <v>195.01</v>
      </c>
      <c r="E158" s="55">
        <v>195.01</v>
      </c>
      <c r="F158" s="55">
        <v>0</v>
      </c>
    </row>
    <row r="160" spans="1:6" x14ac:dyDescent="0.2">
      <c r="A160" s="55">
        <v>34</v>
      </c>
      <c r="B160" s="55" t="s">
        <v>278</v>
      </c>
      <c r="C160" s="55">
        <v>0</v>
      </c>
      <c r="D160" s="59">
        <v>4500</v>
      </c>
      <c r="E160" s="59">
        <v>4500</v>
      </c>
      <c r="F160" s="55">
        <v>0</v>
      </c>
    </row>
    <row r="161" spans="1:6" x14ac:dyDescent="0.2">
      <c r="D161" s="59"/>
      <c r="E161" s="59"/>
      <c r="F161" s="59"/>
    </row>
    <row r="162" spans="1:6" x14ac:dyDescent="0.2">
      <c r="A162" s="55">
        <v>341</v>
      </c>
      <c r="B162" s="55" t="s">
        <v>279</v>
      </c>
      <c r="C162" s="55">
        <v>0</v>
      </c>
      <c r="D162" s="59">
        <v>4500</v>
      </c>
      <c r="E162" s="59">
        <v>4500</v>
      </c>
      <c r="F162" s="55">
        <v>0</v>
      </c>
    </row>
    <row r="163" spans="1:6" x14ac:dyDescent="0.2">
      <c r="D163" s="59"/>
      <c r="E163" s="59"/>
    </row>
    <row r="164" spans="1:6" x14ac:dyDescent="0.2">
      <c r="A164" s="55">
        <v>34101</v>
      </c>
      <c r="B164" s="55" t="s">
        <v>280</v>
      </c>
      <c r="C164" s="55">
        <v>0</v>
      </c>
      <c r="D164" s="59">
        <v>4500</v>
      </c>
      <c r="E164" s="59">
        <v>4500</v>
      </c>
      <c r="F164" s="55">
        <v>0</v>
      </c>
    </row>
    <row r="165" spans="1:6" x14ac:dyDescent="0.2">
      <c r="A165" s="55">
        <v>34101002</v>
      </c>
      <c r="B165" s="55" t="s">
        <v>104</v>
      </c>
      <c r="C165" s="55">
        <v>0</v>
      </c>
      <c r="D165" s="59">
        <v>4500</v>
      </c>
      <c r="E165" s="59">
        <v>4500</v>
      </c>
      <c r="F165" s="55">
        <v>0</v>
      </c>
    </row>
    <row r="166" spans="1:6" x14ac:dyDescent="0.2">
      <c r="D166" s="59"/>
      <c r="E166" s="59"/>
    </row>
    <row r="167" spans="1:6" x14ac:dyDescent="0.2">
      <c r="A167" s="55">
        <v>4</v>
      </c>
      <c r="B167" s="55" t="s">
        <v>128</v>
      </c>
      <c r="C167" s="55">
        <v>0</v>
      </c>
      <c r="D167" s="59">
        <v>1690769.99</v>
      </c>
      <c r="E167" s="59">
        <v>1690769.99</v>
      </c>
      <c r="F167" s="55">
        <v>0</v>
      </c>
    </row>
    <row r="168" spans="1:6" x14ac:dyDescent="0.2">
      <c r="D168" s="59"/>
      <c r="E168" s="59"/>
    </row>
    <row r="169" spans="1:6" x14ac:dyDescent="0.2">
      <c r="A169" s="55">
        <v>41</v>
      </c>
      <c r="B169" s="55" t="s">
        <v>129</v>
      </c>
      <c r="C169" s="55">
        <v>0</v>
      </c>
      <c r="D169" s="59">
        <v>295581.31</v>
      </c>
      <c r="E169" s="59">
        <v>295581.31</v>
      </c>
      <c r="F169" s="55">
        <v>0</v>
      </c>
    </row>
    <row r="170" spans="1:6" x14ac:dyDescent="0.2">
      <c r="D170" s="59"/>
      <c r="E170" s="59"/>
    </row>
    <row r="171" spans="1:6" x14ac:dyDescent="0.2">
      <c r="A171" s="55">
        <v>411</v>
      </c>
      <c r="B171" s="55" t="s">
        <v>281</v>
      </c>
      <c r="C171" s="55">
        <v>0</v>
      </c>
      <c r="D171" s="59">
        <v>295581.31</v>
      </c>
      <c r="E171" s="59">
        <v>295581.31</v>
      </c>
      <c r="F171" s="55">
        <v>0</v>
      </c>
    </row>
    <row r="172" spans="1:6" x14ac:dyDescent="0.2">
      <c r="D172" s="59"/>
      <c r="E172" s="59"/>
    </row>
    <row r="173" spans="1:6" x14ac:dyDescent="0.2">
      <c r="A173" s="55">
        <v>41101</v>
      </c>
      <c r="B173" s="55" t="s">
        <v>282</v>
      </c>
      <c r="C173" s="55">
        <v>0</v>
      </c>
      <c r="D173" s="59">
        <v>150686.51999999999</v>
      </c>
      <c r="E173" s="59">
        <v>150686.51999999999</v>
      </c>
      <c r="F173" s="55">
        <v>0</v>
      </c>
    </row>
    <row r="174" spans="1:6" x14ac:dyDescent="0.2">
      <c r="A174" s="55">
        <v>41101001</v>
      </c>
      <c r="B174" s="55" t="s">
        <v>152</v>
      </c>
      <c r="C174" s="55">
        <v>0</v>
      </c>
      <c r="D174" s="59">
        <v>14381.16</v>
      </c>
      <c r="E174" s="59">
        <v>14381.16</v>
      </c>
      <c r="F174" s="55">
        <v>0</v>
      </c>
    </row>
    <row r="175" spans="1:6" x14ac:dyDescent="0.2">
      <c r="A175" s="55">
        <v>41101004</v>
      </c>
      <c r="B175" s="55" t="s">
        <v>99</v>
      </c>
      <c r="C175" s="55">
        <v>0</v>
      </c>
      <c r="D175" s="59">
        <v>2785.82</v>
      </c>
      <c r="E175" s="59">
        <v>2785.82</v>
      </c>
      <c r="F175" s="55">
        <v>0</v>
      </c>
    </row>
    <row r="176" spans="1:6" x14ac:dyDescent="0.2">
      <c r="A176" s="55">
        <v>41101006</v>
      </c>
      <c r="B176" s="55" t="s">
        <v>100</v>
      </c>
      <c r="C176" s="55">
        <v>0</v>
      </c>
      <c r="D176" s="59">
        <v>12623.01</v>
      </c>
      <c r="E176" s="59">
        <v>12623.01</v>
      </c>
      <c r="F176" s="55">
        <v>0</v>
      </c>
    </row>
    <row r="177" spans="1:6" x14ac:dyDescent="0.2">
      <c r="A177" s="55">
        <v>41101007</v>
      </c>
      <c r="B177" s="55" t="s">
        <v>130</v>
      </c>
      <c r="C177" s="55">
        <v>0</v>
      </c>
      <c r="D177" s="59">
        <v>6648</v>
      </c>
      <c r="E177" s="59">
        <v>6648</v>
      </c>
      <c r="F177" s="55">
        <v>0</v>
      </c>
    </row>
    <row r="178" spans="1:6" x14ac:dyDescent="0.2">
      <c r="A178" s="55">
        <v>41101008</v>
      </c>
      <c r="B178" s="55" t="s">
        <v>131</v>
      </c>
      <c r="C178" s="55">
        <v>0</v>
      </c>
      <c r="D178" s="59">
        <v>3783.06</v>
      </c>
      <c r="E178" s="59">
        <v>3783.06</v>
      </c>
      <c r="F178" s="55">
        <v>0</v>
      </c>
    </row>
    <row r="179" spans="1:6" x14ac:dyDescent="0.2">
      <c r="A179" s="55">
        <v>41101010</v>
      </c>
      <c r="B179" s="55" t="s">
        <v>283</v>
      </c>
      <c r="C179" s="55">
        <v>0</v>
      </c>
      <c r="D179" s="59">
        <v>110465.47</v>
      </c>
      <c r="E179" s="59">
        <v>110465.47</v>
      </c>
      <c r="F179" s="55">
        <v>0</v>
      </c>
    </row>
    <row r="181" spans="1:6" x14ac:dyDescent="0.2">
      <c r="A181" s="55">
        <v>41102</v>
      </c>
      <c r="B181" s="55" t="s">
        <v>284</v>
      </c>
      <c r="C181" s="55">
        <v>0</v>
      </c>
      <c r="D181" s="59">
        <v>21431.1</v>
      </c>
      <c r="E181" s="59">
        <v>21431.1</v>
      </c>
      <c r="F181" s="55">
        <v>0</v>
      </c>
    </row>
    <row r="182" spans="1:6" x14ac:dyDescent="0.2">
      <c r="A182" s="55">
        <v>41102004</v>
      </c>
      <c r="B182" s="55" t="s">
        <v>132</v>
      </c>
      <c r="C182" s="55">
        <v>0</v>
      </c>
      <c r="D182" s="59">
        <v>21051.4</v>
      </c>
      <c r="E182" s="59">
        <v>21051.4</v>
      </c>
      <c r="F182" s="55">
        <v>0</v>
      </c>
    </row>
    <row r="183" spans="1:6" x14ac:dyDescent="0.2">
      <c r="A183" s="55">
        <v>41102005</v>
      </c>
      <c r="B183" s="55" t="s">
        <v>285</v>
      </c>
      <c r="C183" s="55">
        <v>0</v>
      </c>
      <c r="D183" s="55">
        <v>379.7</v>
      </c>
      <c r="E183" s="55">
        <v>379.7</v>
      </c>
      <c r="F183" s="55">
        <v>0</v>
      </c>
    </row>
    <row r="185" spans="1:6" x14ac:dyDescent="0.2">
      <c r="A185" s="55">
        <v>41103</v>
      </c>
      <c r="B185" s="55" t="s">
        <v>102</v>
      </c>
      <c r="C185" s="55">
        <v>0</v>
      </c>
      <c r="D185" s="59">
        <v>48136.95</v>
      </c>
      <c r="E185" s="59">
        <v>48136.95</v>
      </c>
      <c r="F185" s="55">
        <v>0</v>
      </c>
    </row>
    <row r="186" spans="1:6" x14ac:dyDescent="0.2">
      <c r="A186" s="55">
        <v>41103001</v>
      </c>
      <c r="B186" s="55" t="s">
        <v>113</v>
      </c>
      <c r="C186" s="55">
        <v>0</v>
      </c>
      <c r="D186" s="59">
        <v>13095.28</v>
      </c>
      <c r="E186" s="59">
        <v>13095.28</v>
      </c>
      <c r="F186" s="55">
        <v>0</v>
      </c>
    </row>
    <row r="187" spans="1:6" x14ac:dyDescent="0.2">
      <c r="A187" s="55">
        <v>41103002</v>
      </c>
      <c r="B187" s="55" t="s">
        <v>133</v>
      </c>
      <c r="C187" s="55">
        <v>0</v>
      </c>
      <c r="D187" s="59">
        <v>1382.21</v>
      </c>
      <c r="E187" s="59">
        <v>1382.21</v>
      </c>
      <c r="F187" s="55">
        <v>0</v>
      </c>
    </row>
    <row r="188" spans="1:6" x14ac:dyDescent="0.2">
      <c r="A188" s="55">
        <v>41103003</v>
      </c>
      <c r="B188" s="55" t="s">
        <v>245</v>
      </c>
      <c r="C188" s="55">
        <v>0</v>
      </c>
      <c r="D188" s="59">
        <v>33659.46</v>
      </c>
      <c r="E188" s="59">
        <v>33659.46</v>
      </c>
      <c r="F188" s="55">
        <v>0</v>
      </c>
    </row>
    <row r="189" spans="1:6" x14ac:dyDescent="0.2">
      <c r="D189" s="59"/>
      <c r="E189" s="59"/>
    </row>
    <row r="190" spans="1:6" x14ac:dyDescent="0.2">
      <c r="A190" s="55">
        <v>41104</v>
      </c>
      <c r="B190" s="55" t="s">
        <v>117</v>
      </c>
      <c r="C190" s="55">
        <v>0</v>
      </c>
      <c r="D190" s="59">
        <v>37370.230000000003</v>
      </c>
      <c r="E190" s="59">
        <v>37370.230000000003</v>
      </c>
      <c r="F190" s="55">
        <v>0</v>
      </c>
    </row>
    <row r="191" spans="1:6" x14ac:dyDescent="0.2">
      <c r="A191" s="55">
        <v>41104001</v>
      </c>
      <c r="B191" s="55" t="s">
        <v>99</v>
      </c>
      <c r="C191" s="55">
        <v>0</v>
      </c>
      <c r="D191" s="59">
        <v>15296.84</v>
      </c>
      <c r="E191" s="59">
        <v>15296.84</v>
      </c>
      <c r="F191" s="55">
        <v>0</v>
      </c>
    </row>
    <row r="192" spans="1:6" x14ac:dyDescent="0.2">
      <c r="A192" s="55">
        <v>41104002</v>
      </c>
      <c r="B192" s="55" t="s">
        <v>100</v>
      </c>
      <c r="C192" s="55">
        <v>0</v>
      </c>
      <c r="D192" s="59">
        <v>22073.39</v>
      </c>
      <c r="E192" s="59">
        <v>22073.39</v>
      </c>
      <c r="F192" s="55">
        <v>0</v>
      </c>
    </row>
    <row r="193" spans="1:6" x14ac:dyDescent="0.2">
      <c r="D193" s="59"/>
      <c r="E193" s="59"/>
    </row>
    <row r="194" spans="1:6" x14ac:dyDescent="0.2">
      <c r="A194" s="55">
        <v>41105</v>
      </c>
      <c r="B194" s="55" t="s">
        <v>286</v>
      </c>
      <c r="C194" s="55">
        <v>0</v>
      </c>
      <c r="D194" s="59">
        <v>8509.67</v>
      </c>
      <c r="E194" s="59">
        <v>8509.67</v>
      </c>
      <c r="F194" s="55">
        <v>0</v>
      </c>
    </row>
    <row r="195" spans="1:6" x14ac:dyDescent="0.2">
      <c r="A195" s="55">
        <v>41105005</v>
      </c>
      <c r="B195" s="55" t="s">
        <v>287</v>
      </c>
      <c r="C195" s="55">
        <v>0</v>
      </c>
      <c r="D195" s="59">
        <v>8509.67</v>
      </c>
      <c r="E195" s="59">
        <v>8509.67</v>
      </c>
      <c r="F195" s="55">
        <v>0</v>
      </c>
    </row>
    <row r="197" spans="1:6" x14ac:dyDescent="0.2">
      <c r="A197" s="55">
        <v>41106</v>
      </c>
      <c r="B197" s="55" t="s">
        <v>288</v>
      </c>
      <c r="C197" s="55">
        <v>0</v>
      </c>
      <c r="D197" s="59">
        <v>3738.04</v>
      </c>
      <c r="E197" s="59">
        <v>3738.04</v>
      </c>
      <c r="F197" s="55">
        <v>0</v>
      </c>
    </row>
    <row r="198" spans="1:6" x14ac:dyDescent="0.2">
      <c r="A198" s="55">
        <v>41106002</v>
      </c>
      <c r="B198" s="55" t="s">
        <v>98</v>
      </c>
      <c r="C198" s="55">
        <v>0</v>
      </c>
      <c r="D198" s="59">
        <v>668</v>
      </c>
      <c r="E198" s="59">
        <v>668</v>
      </c>
      <c r="F198" s="55">
        <v>0</v>
      </c>
    </row>
    <row r="199" spans="1:6" x14ac:dyDescent="0.2">
      <c r="A199" s="55">
        <v>41106005</v>
      </c>
      <c r="B199" s="55" t="s">
        <v>273</v>
      </c>
      <c r="C199" s="55">
        <v>0</v>
      </c>
      <c r="D199" s="59">
        <v>3070.04</v>
      </c>
      <c r="E199" s="59">
        <v>3070.04</v>
      </c>
      <c r="F199" s="55">
        <v>0</v>
      </c>
    </row>
    <row r="201" spans="1:6" x14ac:dyDescent="0.2">
      <c r="A201" s="55">
        <v>41107</v>
      </c>
      <c r="B201" s="55" t="s">
        <v>289</v>
      </c>
      <c r="C201" s="55">
        <v>0</v>
      </c>
      <c r="D201" s="59">
        <v>25708.799999999999</v>
      </c>
      <c r="E201" s="59">
        <v>25708.799999999999</v>
      </c>
      <c r="F201" s="55">
        <v>0</v>
      </c>
    </row>
    <row r="202" spans="1:6" x14ac:dyDescent="0.2">
      <c r="A202" s="55">
        <v>41107009</v>
      </c>
      <c r="B202" s="55" t="s">
        <v>136</v>
      </c>
      <c r="C202" s="55">
        <v>0</v>
      </c>
      <c r="D202" s="59">
        <v>24884.3</v>
      </c>
      <c r="E202" s="59">
        <v>24884.3</v>
      </c>
      <c r="F202" s="55">
        <v>0</v>
      </c>
    </row>
    <row r="203" spans="1:6" x14ac:dyDescent="0.2">
      <c r="A203" s="55">
        <v>41107016</v>
      </c>
      <c r="B203" s="55" t="s">
        <v>135</v>
      </c>
      <c r="C203" s="55">
        <v>0</v>
      </c>
      <c r="D203" s="59">
        <v>338</v>
      </c>
      <c r="E203" s="59">
        <v>338</v>
      </c>
      <c r="F203" s="55">
        <v>0</v>
      </c>
    </row>
    <row r="204" spans="1:6" x14ac:dyDescent="0.2">
      <c r="A204" s="55">
        <v>41107017</v>
      </c>
      <c r="B204" s="55" t="s">
        <v>138</v>
      </c>
      <c r="C204" s="55">
        <v>0</v>
      </c>
      <c r="D204" s="55">
        <v>459.5</v>
      </c>
      <c r="E204" s="55">
        <v>459.5</v>
      </c>
      <c r="F204" s="55">
        <v>0</v>
      </c>
    </row>
    <row r="205" spans="1:6" x14ac:dyDescent="0.2">
      <c r="A205" s="55">
        <v>41107021</v>
      </c>
      <c r="B205" s="55" t="s">
        <v>290</v>
      </c>
      <c r="C205" s="55">
        <v>0</v>
      </c>
      <c r="D205" s="55">
        <v>27</v>
      </c>
      <c r="E205" s="55">
        <v>27</v>
      </c>
      <c r="F205" s="55">
        <v>0</v>
      </c>
    </row>
    <row r="207" spans="1:6" x14ac:dyDescent="0.2">
      <c r="A207" s="55">
        <v>42</v>
      </c>
      <c r="B207" s="55" t="s">
        <v>140</v>
      </c>
      <c r="C207" s="55">
        <v>0</v>
      </c>
      <c r="D207" s="59">
        <v>289922.96000000002</v>
      </c>
      <c r="E207" s="59">
        <v>289922.96000000002</v>
      </c>
      <c r="F207" s="55">
        <v>0</v>
      </c>
    </row>
    <row r="208" spans="1:6" x14ac:dyDescent="0.2">
      <c r="D208" s="59"/>
      <c r="E208" s="59"/>
    </row>
    <row r="209" spans="1:6" x14ac:dyDescent="0.2">
      <c r="A209" s="55">
        <v>421</v>
      </c>
      <c r="B209" s="55" t="s">
        <v>140</v>
      </c>
      <c r="C209" s="55">
        <v>0</v>
      </c>
      <c r="D209" s="59">
        <v>279059.32</v>
      </c>
      <c r="E209" s="59">
        <v>279059.32</v>
      </c>
      <c r="F209" s="55">
        <v>0</v>
      </c>
    </row>
    <row r="211" spans="1:6" x14ac:dyDescent="0.2">
      <c r="A211" s="55">
        <v>42101</v>
      </c>
      <c r="B211" s="55" t="s">
        <v>291</v>
      </c>
      <c r="C211" s="55">
        <v>0</v>
      </c>
      <c r="D211" s="59">
        <v>71173.19</v>
      </c>
      <c r="E211" s="59">
        <v>71173.19</v>
      </c>
      <c r="F211" s="55">
        <v>0</v>
      </c>
    </row>
    <row r="212" spans="1:6" x14ac:dyDescent="0.2">
      <c r="A212" s="55">
        <v>42101001</v>
      </c>
      <c r="B212" s="55" t="s">
        <v>152</v>
      </c>
      <c r="C212" s="55">
        <v>0</v>
      </c>
      <c r="D212" s="59">
        <v>1466.89</v>
      </c>
      <c r="E212" s="59">
        <v>1466.89</v>
      </c>
      <c r="F212" s="55">
        <v>0</v>
      </c>
    </row>
    <row r="213" spans="1:6" x14ac:dyDescent="0.2">
      <c r="A213" s="55">
        <v>42101004</v>
      </c>
      <c r="B213" s="55" t="s">
        <v>99</v>
      </c>
      <c r="C213" s="55">
        <v>0</v>
      </c>
      <c r="D213" s="59">
        <v>4778.8100000000004</v>
      </c>
      <c r="E213" s="59">
        <v>4778.8100000000004</v>
      </c>
      <c r="F213" s="55">
        <v>0</v>
      </c>
    </row>
    <row r="214" spans="1:6" x14ac:dyDescent="0.2">
      <c r="A214" s="55">
        <v>42101006</v>
      </c>
      <c r="B214" s="55" t="s">
        <v>100</v>
      </c>
      <c r="C214" s="55">
        <v>0</v>
      </c>
      <c r="D214" s="59">
        <v>5652.35</v>
      </c>
      <c r="E214" s="59">
        <v>5652.35</v>
      </c>
      <c r="F214" s="55">
        <v>0</v>
      </c>
    </row>
    <row r="215" spans="1:6" x14ac:dyDescent="0.2">
      <c r="A215" s="55">
        <v>42101007</v>
      </c>
      <c r="B215" s="55" t="s">
        <v>130</v>
      </c>
      <c r="C215" s="55">
        <v>0</v>
      </c>
      <c r="D215" s="59">
        <v>1543.18</v>
      </c>
      <c r="E215" s="59">
        <v>1543.18</v>
      </c>
      <c r="F215" s="55">
        <v>0</v>
      </c>
    </row>
    <row r="216" spans="1:6" x14ac:dyDescent="0.2">
      <c r="A216" s="55">
        <v>42101008</v>
      </c>
      <c r="B216" s="55" t="s">
        <v>131</v>
      </c>
      <c r="C216" s="55">
        <v>0</v>
      </c>
      <c r="D216" s="59">
        <v>1258.8599999999999</v>
      </c>
      <c r="E216" s="59">
        <v>1258.8599999999999</v>
      </c>
      <c r="F216" s="55">
        <v>0</v>
      </c>
    </row>
    <row r="217" spans="1:6" x14ac:dyDescent="0.2">
      <c r="A217" s="55">
        <v>42101010</v>
      </c>
      <c r="B217" s="55" t="s">
        <v>101</v>
      </c>
      <c r="C217" s="55">
        <v>0</v>
      </c>
      <c r="D217" s="59">
        <v>56473.1</v>
      </c>
      <c r="E217" s="59">
        <v>56473.1</v>
      </c>
      <c r="F217" s="55">
        <v>0</v>
      </c>
    </row>
    <row r="219" spans="1:6" x14ac:dyDescent="0.2">
      <c r="A219" s="55">
        <v>42103</v>
      </c>
      <c r="B219" s="55" t="s">
        <v>102</v>
      </c>
      <c r="C219" s="55">
        <v>0</v>
      </c>
      <c r="D219" s="59">
        <v>31370.080000000002</v>
      </c>
      <c r="E219" s="59">
        <v>31370.080000000002</v>
      </c>
      <c r="F219" s="55">
        <v>0</v>
      </c>
    </row>
    <row r="220" spans="1:6" x14ac:dyDescent="0.2">
      <c r="A220" s="55">
        <v>42103001</v>
      </c>
      <c r="B220" s="55" t="s">
        <v>113</v>
      </c>
      <c r="C220" s="55">
        <v>0</v>
      </c>
      <c r="D220" s="59">
        <v>5888.62</v>
      </c>
      <c r="E220" s="59">
        <v>5888.62</v>
      </c>
      <c r="F220" s="55">
        <v>0</v>
      </c>
    </row>
    <row r="221" spans="1:6" x14ac:dyDescent="0.2">
      <c r="A221" s="55">
        <v>42103002</v>
      </c>
      <c r="B221" s="55" t="s">
        <v>133</v>
      </c>
      <c r="C221" s="55">
        <v>0</v>
      </c>
      <c r="D221" s="59">
        <v>742.33</v>
      </c>
      <c r="E221" s="59">
        <v>742.33</v>
      </c>
      <c r="F221" s="55">
        <v>0</v>
      </c>
    </row>
    <row r="222" spans="1:6" x14ac:dyDescent="0.2">
      <c r="A222" s="55">
        <v>42103003</v>
      </c>
      <c r="B222" s="55" t="s">
        <v>245</v>
      </c>
      <c r="C222" s="55">
        <v>0</v>
      </c>
      <c r="D222" s="59">
        <v>24739.13</v>
      </c>
      <c r="E222" s="59">
        <v>24739.13</v>
      </c>
      <c r="F222" s="55">
        <v>0</v>
      </c>
    </row>
    <row r="223" spans="1:6" x14ac:dyDescent="0.2">
      <c r="D223" s="59"/>
      <c r="E223" s="59"/>
    </row>
    <row r="224" spans="1:6" x14ac:dyDescent="0.2">
      <c r="A224" s="55">
        <v>42106</v>
      </c>
      <c r="B224" s="55" t="s">
        <v>141</v>
      </c>
      <c r="C224" s="55">
        <v>0</v>
      </c>
      <c r="D224" s="59">
        <v>25819.29</v>
      </c>
      <c r="E224" s="59">
        <v>25819.29</v>
      </c>
      <c r="F224" s="55">
        <v>0</v>
      </c>
    </row>
    <row r="225" spans="1:6" x14ac:dyDescent="0.2">
      <c r="A225" s="55">
        <v>42106002</v>
      </c>
      <c r="B225" s="55" t="s">
        <v>292</v>
      </c>
      <c r="C225" s="55">
        <v>0</v>
      </c>
      <c r="D225" s="59">
        <v>15661.39</v>
      </c>
      <c r="E225" s="59">
        <v>15661.39</v>
      </c>
      <c r="F225" s="55">
        <v>0</v>
      </c>
    </row>
    <row r="226" spans="1:6" x14ac:dyDescent="0.2">
      <c r="A226" s="55">
        <v>42106004</v>
      </c>
      <c r="B226" s="55" t="s">
        <v>293</v>
      </c>
      <c r="C226" s="55">
        <v>0</v>
      </c>
      <c r="D226" s="59">
        <v>1020.9</v>
      </c>
      <c r="E226" s="59">
        <v>1020.9</v>
      </c>
      <c r="F226" s="55">
        <v>0</v>
      </c>
    </row>
    <row r="227" spans="1:6" x14ac:dyDescent="0.2">
      <c r="A227" s="55">
        <v>42106006</v>
      </c>
      <c r="B227" s="55" t="s">
        <v>109</v>
      </c>
      <c r="C227" s="55">
        <v>0</v>
      </c>
      <c r="D227" s="59">
        <v>9137</v>
      </c>
      <c r="E227" s="59">
        <v>9137</v>
      </c>
      <c r="F227" s="55">
        <v>0</v>
      </c>
    </row>
    <row r="228" spans="1:6" x14ac:dyDescent="0.2">
      <c r="D228" s="59"/>
      <c r="E228" s="59"/>
    </row>
    <row r="229" spans="1:6" x14ac:dyDescent="0.2">
      <c r="A229" s="55">
        <v>42107</v>
      </c>
      <c r="B229" s="55" t="s">
        <v>142</v>
      </c>
      <c r="C229" s="55">
        <v>0</v>
      </c>
      <c r="D229" s="59">
        <v>14780.22</v>
      </c>
      <c r="E229" s="59">
        <v>14780.22</v>
      </c>
      <c r="F229" s="55">
        <v>0</v>
      </c>
    </row>
    <row r="230" spans="1:6" x14ac:dyDescent="0.2">
      <c r="A230" s="55">
        <v>42107003</v>
      </c>
      <c r="B230" s="55" t="s">
        <v>143</v>
      </c>
      <c r="C230" s="55">
        <v>0</v>
      </c>
      <c r="D230" s="59">
        <v>12462.91</v>
      </c>
      <c r="E230" s="59">
        <v>12462.91</v>
      </c>
      <c r="F230" s="55">
        <v>0</v>
      </c>
    </row>
    <row r="231" spans="1:6" x14ac:dyDescent="0.2">
      <c r="A231" s="55">
        <v>42107004</v>
      </c>
      <c r="B231" s="55" t="s">
        <v>294</v>
      </c>
      <c r="C231" s="55">
        <v>0</v>
      </c>
      <c r="D231" s="59">
        <v>2317.31</v>
      </c>
      <c r="E231" s="59">
        <v>2317.31</v>
      </c>
      <c r="F231" s="55">
        <v>0</v>
      </c>
    </row>
    <row r="232" spans="1:6" x14ac:dyDescent="0.2">
      <c r="D232" s="59"/>
      <c r="E232" s="59"/>
    </row>
    <row r="233" spans="1:6" x14ac:dyDescent="0.2">
      <c r="A233" s="55">
        <v>42108</v>
      </c>
      <c r="B233" s="55" t="s">
        <v>144</v>
      </c>
      <c r="C233" s="55">
        <v>0</v>
      </c>
      <c r="D233" s="59">
        <v>135450.34</v>
      </c>
      <c r="E233" s="59">
        <v>135450.34</v>
      </c>
      <c r="F233" s="55">
        <v>0</v>
      </c>
    </row>
    <row r="234" spans="1:6" x14ac:dyDescent="0.2">
      <c r="A234" s="55">
        <v>42108001</v>
      </c>
      <c r="B234" s="55" t="s">
        <v>295</v>
      </c>
      <c r="C234" s="55">
        <v>0</v>
      </c>
      <c r="D234" s="59">
        <v>2604.94</v>
      </c>
      <c r="E234" s="59">
        <v>2604.94</v>
      </c>
      <c r="F234" s="55">
        <v>0</v>
      </c>
    </row>
    <row r="235" spans="1:6" x14ac:dyDescent="0.2">
      <c r="A235" s="55">
        <v>42108002</v>
      </c>
      <c r="B235" s="55" t="s">
        <v>296</v>
      </c>
      <c r="C235" s="55">
        <v>0</v>
      </c>
      <c r="D235" s="59">
        <v>33306.25</v>
      </c>
      <c r="E235" s="59">
        <v>33306.25</v>
      </c>
      <c r="F235" s="55">
        <v>0</v>
      </c>
    </row>
    <row r="236" spans="1:6" x14ac:dyDescent="0.2">
      <c r="A236" s="55">
        <v>42108003</v>
      </c>
      <c r="B236" s="55" t="s">
        <v>134</v>
      </c>
      <c r="C236" s="55">
        <v>0</v>
      </c>
      <c r="D236" s="59">
        <v>3597.39</v>
      </c>
      <c r="E236" s="59">
        <v>3597.39</v>
      </c>
      <c r="F236" s="55">
        <v>0</v>
      </c>
    </row>
    <row r="237" spans="1:6" x14ac:dyDescent="0.2">
      <c r="A237" s="55">
        <v>42108004</v>
      </c>
      <c r="B237" s="55" t="s">
        <v>145</v>
      </c>
      <c r="C237" s="55">
        <v>0</v>
      </c>
      <c r="D237" s="59">
        <v>54.95</v>
      </c>
      <c r="E237" s="59">
        <v>54.95</v>
      </c>
      <c r="F237" s="55">
        <v>0</v>
      </c>
    </row>
    <row r="238" spans="1:6" x14ac:dyDescent="0.2">
      <c r="A238" s="55">
        <v>42108006</v>
      </c>
      <c r="B238" s="55" t="s">
        <v>297</v>
      </c>
      <c r="C238" s="55">
        <v>0</v>
      </c>
      <c r="D238" s="59">
        <v>6101.24</v>
      </c>
      <c r="E238" s="59">
        <v>6101.24</v>
      </c>
      <c r="F238" s="55">
        <v>0</v>
      </c>
    </row>
    <row r="239" spans="1:6" x14ac:dyDescent="0.2">
      <c r="A239" s="55">
        <v>42108007</v>
      </c>
      <c r="B239" s="55" t="s">
        <v>146</v>
      </c>
      <c r="C239" s="55">
        <v>0</v>
      </c>
      <c r="D239" s="59">
        <v>146.52000000000001</v>
      </c>
      <c r="E239" s="59">
        <v>146.52000000000001</v>
      </c>
      <c r="F239" s="55">
        <v>0</v>
      </c>
    </row>
    <row r="240" spans="1:6" x14ac:dyDescent="0.2">
      <c r="A240" s="55">
        <v>42108009</v>
      </c>
      <c r="B240" s="55" t="s">
        <v>298</v>
      </c>
      <c r="C240" s="55">
        <v>0</v>
      </c>
      <c r="D240" s="59">
        <v>5833.26</v>
      </c>
      <c r="E240" s="59">
        <v>5833.26</v>
      </c>
      <c r="F240" s="55">
        <v>0</v>
      </c>
    </row>
    <row r="241" spans="1:6" x14ac:dyDescent="0.2">
      <c r="A241" s="55">
        <v>42108011</v>
      </c>
      <c r="B241" s="55" t="s">
        <v>138</v>
      </c>
      <c r="C241" s="55">
        <v>0</v>
      </c>
      <c r="D241" s="59">
        <v>1812.6</v>
      </c>
      <c r="E241" s="59">
        <v>1812.6</v>
      </c>
      <c r="F241" s="55">
        <v>0</v>
      </c>
    </row>
    <row r="242" spans="1:6" x14ac:dyDescent="0.2">
      <c r="A242" s="55">
        <v>42108012</v>
      </c>
      <c r="B242" s="55" t="s">
        <v>135</v>
      </c>
      <c r="C242" s="55">
        <v>0</v>
      </c>
      <c r="D242" s="59">
        <v>2749.39</v>
      </c>
      <c r="E242" s="59">
        <v>2749.39</v>
      </c>
      <c r="F242" s="55">
        <v>0</v>
      </c>
    </row>
    <row r="243" spans="1:6" x14ac:dyDescent="0.2">
      <c r="A243" s="55">
        <v>42108013</v>
      </c>
      <c r="B243" s="55" t="s">
        <v>147</v>
      </c>
      <c r="C243" s="55">
        <v>0</v>
      </c>
      <c r="D243" s="59">
        <v>3067.13</v>
      </c>
      <c r="E243" s="59">
        <v>3067.13</v>
      </c>
      <c r="F243" s="55">
        <v>0</v>
      </c>
    </row>
    <row r="244" spans="1:6" x14ac:dyDescent="0.2">
      <c r="A244" s="55">
        <v>42108014</v>
      </c>
      <c r="B244" s="55" t="s">
        <v>299</v>
      </c>
      <c r="C244" s="55">
        <v>0</v>
      </c>
      <c r="D244" s="59">
        <v>423.33</v>
      </c>
      <c r="E244" s="59">
        <v>423.33</v>
      </c>
      <c r="F244" s="55">
        <v>0</v>
      </c>
    </row>
    <row r="245" spans="1:6" x14ac:dyDescent="0.2">
      <c r="A245" s="55">
        <v>42108015</v>
      </c>
      <c r="B245" s="55" t="s">
        <v>148</v>
      </c>
      <c r="C245" s="55">
        <v>0</v>
      </c>
      <c r="D245" s="59">
        <v>1594.74</v>
      </c>
      <c r="E245" s="59">
        <v>1594.74</v>
      </c>
      <c r="F245" s="55">
        <v>0</v>
      </c>
    </row>
    <row r="246" spans="1:6" x14ac:dyDescent="0.2">
      <c r="A246" s="55">
        <v>42108016</v>
      </c>
      <c r="B246" s="55" t="s">
        <v>300</v>
      </c>
      <c r="C246" s="55">
        <v>0</v>
      </c>
      <c r="D246" s="59">
        <v>7904.46</v>
      </c>
      <c r="E246" s="59">
        <v>7904.46</v>
      </c>
      <c r="F246" s="59">
        <v>0</v>
      </c>
    </row>
    <row r="247" spans="1:6" x14ac:dyDescent="0.2">
      <c r="A247" s="55">
        <v>42108017</v>
      </c>
      <c r="B247" s="55" t="s">
        <v>149</v>
      </c>
      <c r="C247" s="55">
        <v>0</v>
      </c>
      <c r="D247" s="59">
        <v>9934.6200000000008</v>
      </c>
      <c r="E247" s="59">
        <v>9934.6200000000008</v>
      </c>
      <c r="F247" s="55">
        <v>0</v>
      </c>
    </row>
    <row r="248" spans="1:6" x14ac:dyDescent="0.2">
      <c r="A248" s="55">
        <v>42108021</v>
      </c>
      <c r="B248" s="55" t="s">
        <v>301</v>
      </c>
      <c r="C248" s="55">
        <v>0</v>
      </c>
      <c r="D248" s="59">
        <v>38591.43</v>
      </c>
      <c r="E248" s="59">
        <v>38591.43</v>
      </c>
      <c r="F248" s="59">
        <v>0</v>
      </c>
    </row>
    <row r="249" spans="1:6" x14ac:dyDescent="0.2">
      <c r="A249" s="55">
        <v>42108022</v>
      </c>
      <c r="B249" s="55" t="s">
        <v>302</v>
      </c>
      <c r="C249" s="55">
        <v>0</v>
      </c>
      <c r="D249" s="59">
        <v>3312.08</v>
      </c>
      <c r="E249" s="59">
        <v>3312.08</v>
      </c>
      <c r="F249" s="55">
        <v>0</v>
      </c>
    </row>
    <row r="250" spans="1:6" x14ac:dyDescent="0.2">
      <c r="A250" s="55">
        <v>42108023</v>
      </c>
      <c r="B250" s="55" t="s">
        <v>303</v>
      </c>
      <c r="C250" s="55">
        <v>0</v>
      </c>
      <c r="D250" s="59">
        <v>10472.84</v>
      </c>
      <c r="E250" s="59">
        <v>10472.84</v>
      </c>
      <c r="F250" s="55">
        <v>0</v>
      </c>
    </row>
    <row r="251" spans="1:6" x14ac:dyDescent="0.2">
      <c r="A251" s="55">
        <v>42108024</v>
      </c>
      <c r="B251" s="55" t="s">
        <v>150</v>
      </c>
      <c r="C251" s="55">
        <v>0</v>
      </c>
      <c r="D251" s="59">
        <v>63.2</v>
      </c>
      <c r="E251" s="59">
        <v>63.2</v>
      </c>
      <c r="F251" s="59">
        <v>0</v>
      </c>
    </row>
    <row r="252" spans="1:6" x14ac:dyDescent="0.2">
      <c r="A252" s="55">
        <v>42108025</v>
      </c>
      <c r="B252" s="55" t="s">
        <v>137</v>
      </c>
      <c r="C252" s="55">
        <v>0</v>
      </c>
      <c r="D252" s="59">
        <v>100</v>
      </c>
      <c r="E252" s="59">
        <v>100</v>
      </c>
      <c r="F252" s="59">
        <v>0</v>
      </c>
    </row>
    <row r="253" spans="1:6" x14ac:dyDescent="0.2">
      <c r="A253" s="55">
        <v>42108032</v>
      </c>
      <c r="B253" s="55" t="s">
        <v>304</v>
      </c>
      <c r="C253" s="55">
        <v>0</v>
      </c>
      <c r="D253" s="59">
        <v>1076.45</v>
      </c>
      <c r="E253" s="59">
        <v>1076.45</v>
      </c>
      <c r="F253" s="55">
        <v>0</v>
      </c>
    </row>
    <row r="254" spans="1:6" x14ac:dyDescent="0.2">
      <c r="A254" s="55">
        <v>42108036</v>
      </c>
      <c r="B254" s="55" t="s">
        <v>305</v>
      </c>
      <c r="C254" s="55">
        <v>0</v>
      </c>
      <c r="D254" s="59">
        <v>2575.83</v>
      </c>
      <c r="E254" s="59">
        <v>2575.83</v>
      </c>
      <c r="F254" s="55">
        <v>0</v>
      </c>
    </row>
    <row r="255" spans="1:6" x14ac:dyDescent="0.2">
      <c r="A255" s="55">
        <v>42108038</v>
      </c>
      <c r="B255" s="55" t="s">
        <v>306</v>
      </c>
      <c r="C255" s="55">
        <v>0</v>
      </c>
      <c r="D255" s="55">
        <v>127.69</v>
      </c>
      <c r="E255" s="55">
        <v>127.69</v>
      </c>
      <c r="F255" s="55">
        <v>0</v>
      </c>
    </row>
    <row r="256" spans="1:6" x14ac:dyDescent="0.2">
      <c r="D256" s="59"/>
      <c r="E256" s="59"/>
    </row>
    <row r="257" spans="1:6" x14ac:dyDescent="0.2">
      <c r="A257" s="55">
        <v>42109</v>
      </c>
      <c r="B257" s="55" t="s">
        <v>139</v>
      </c>
      <c r="C257" s="55">
        <v>0</v>
      </c>
      <c r="D257" s="55">
        <v>466.2</v>
      </c>
      <c r="E257" s="55">
        <v>466.2</v>
      </c>
      <c r="F257" s="55">
        <v>0</v>
      </c>
    </row>
    <row r="258" spans="1:6" x14ac:dyDescent="0.2">
      <c r="A258" s="55">
        <v>42109003</v>
      </c>
      <c r="B258" s="55" t="s">
        <v>307</v>
      </c>
      <c r="C258" s="55">
        <v>0</v>
      </c>
      <c r="D258" s="59">
        <v>120</v>
      </c>
      <c r="E258" s="59">
        <v>120</v>
      </c>
      <c r="F258" s="55">
        <v>0</v>
      </c>
    </row>
    <row r="259" spans="1:6" x14ac:dyDescent="0.2">
      <c r="A259" s="55">
        <v>42109006</v>
      </c>
      <c r="B259" s="55" t="s">
        <v>308</v>
      </c>
      <c r="C259" s="55">
        <v>0</v>
      </c>
      <c r="D259" s="59">
        <v>76.2</v>
      </c>
      <c r="E259" s="59">
        <v>76.2</v>
      </c>
      <c r="F259" s="55">
        <v>0</v>
      </c>
    </row>
    <row r="260" spans="1:6" x14ac:dyDescent="0.2">
      <c r="A260" s="55">
        <v>42109007</v>
      </c>
      <c r="B260" s="55" t="s">
        <v>151</v>
      </c>
      <c r="C260" s="55">
        <v>0</v>
      </c>
      <c r="D260" s="59">
        <v>270</v>
      </c>
      <c r="E260" s="59">
        <v>270</v>
      </c>
      <c r="F260" s="55">
        <v>0</v>
      </c>
    </row>
    <row r="261" spans="1:6" x14ac:dyDescent="0.2">
      <c r="D261" s="59"/>
      <c r="E261" s="59"/>
    </row>
    <row r="262" spans="1:6" x14ac:dyDescent="0.2">
      <c r="A262" s="55">
        <v>422</v>
      </c>
      <c r="B262" s="55" t="s">
        <v>153</v>
      </c>
      <c r="C262" s="55">
        <v>0</v>
      </c>
      <c r="D262" s="59">
        <v>7623.93</v>
      </c>
      <c r="E262" s="59">
        <v>7623.93</v>
      </c>
      <c r="F262" s="55">
        <v>0</v>
      </c>
    </row>
    <row r="263" spans="1:6" x14ac:dyDescent="0.2">
      <c r="D263" s="59"/>
      <c r="E263" s="59"/>
    </row>
    <row r="264" spans="1:6" x14ac:dyDescent="0.2">
      <c r="A264" s="55">
        <v>42202</v>
      </c>
      <c r="B264" s="55" t="s">
        <v>309</v>
      </c>
      <c r="C264" s="55">
        <v>0</v>
      </c>
      <c r="D264" s="59">
        <v>5497.8</v>
      </c>
      <c r="E264" s="59">
        <v>5497.8</v>
      </c>
      <c r="F264" s="55">
        <v>0</v>
      </c>
    </row>
    <row r="265" spans="1:6" x14ac:dyDescent="0.2">
      <c r="A265" s="55">
        <v>42202001</v>
      </c>
      <c r="B265" s="55" t="s">
        <v>154</v>
      </c>
      <c r="C265" s="55">
        <v>0</v>
      </c>
      <c r="D265" s="59">
        <v>5497.8</v>
      </c>
      <c r="E265" s="59">
        <v>5497.8</v>
      </c>
      <c r="F265" s="55">
        <v>0</v>
      </c>
    </row>
    <row r="266" spans="1:6" x14ac:dyDescent="0.2">
      <c r="C266" s="59"/>
      <c r="D266" s="59"/>
      <c r="E266" s="59"/>
      <c r="F266" s="59"/>
    </row>
    <row r="267" spans="1:6" x14ac:dyDescent="0.2">
      <c r="A267" s="55">
        <v>42203</v>
      </c>
      <c r="B267" s="55" t="s">
        <v>155</v>
      </c>
      <c r="C267" s="55">
        <v>0</v>
      </c>
      <c r="D267" s="59">
        <v>2116.13</v>
      </c>
      <c r="E267" s="59">
        <v>2116.13</v>
      </c>
      <c r="F267" s="55">
        <v>0</v>
      </c>
    </row>
    <row r="268" spans="1:6" x14ac:dyDescent="0.2">
      <c r="A268" s="55">
        <v>42203001</v>
      </c>
      <c r="B268" s="55" t="s">
        <v>310</v>
      </c>
      <c r="C268" s="59">
        <v>0</v>
      </c>
      <c r="D268" s="59">
        <v>1853.7</v>
      </c>
      <c r="E268" s="59">
        <v>1853.7</v>
      </c>
      <c r="F268" s="59">
        <v>0</v>
      </c>
    </row>
    <row r="269" spans="1:6" x14ac:dyDescent="0.2">
      <c r="A269" s="55">
        <v>42203002</v>
      </c>
      <c r="B269" s="55" t="s">
        <v>311</v>
      </c>
      <c r="C269" s="55">
        <v>0</v>
      </c>
      <c r="D269" s="55">
        <v>262.43</v>
      </c>
      <c r="E269" s="55">
        <v>262.43</v>
      </c>
      <c r="F269" s="55">
        <v>0</v>
      </c>
    </row>
    <row r="270" spans="1:6" x14ac:dyDescent="0.2">
      <c r="C270" s="59"/>
      <c r="D270" s="59"/>
      <c r="E270" s="59"/>
      <c r="F270" s="59"/>
    </row>
    <row r="271" spans="1:6" x14ac:dyDescent="0.2">
      <c r="A271" s="55">
        <v>42204</v>
      </c>
      <c r="B271" s="55" t="s">
        <v>312</v>
      </c>
      <c r="C271" s="55">
        <v>0</v>
      </c>
      <c r="D271" s="59">
        <v>10</v>
      </c>
      <c r="E271" s="59">
        <v>10</v>
      </c>
      <c r="F271" s="55">
        <v>0</v>
      </c>
    </row>
    <row r="272" spans="1:6" x14ac:dyDescent="0.2">
      <c r="A272" s="55">
        <v>42204001</v>
      </c>
      <c r="B272" s="55" t="s">
        <v>156</v>
      </c>
      <c r="C272" s="55">
        <v>0</v>
      </c>
      <c r="D272" s="55">
        <v>10</v>
      </c>
      <c r="E272" s="55">
        <v>10</v>
      </c>
      <c r="F272" s="55">
        <v>0</v>
      </c>
    </row>
    <row r="273" spans="1:6" x14ac:dyDescent="0.2">
      <c r="D273" s="59"/>
      <c r="E273" s="59"/>
      <c r="F273" s="59"/>
    </row>
    <row r="274" spans="1:6" x14ac:dyDescent="0.2">
      <c r="A274" s="55">
        <v>424</v>
      </c>
      <c r="B274" s="55" t="s">
        <v>157</v>
      </c>
      <c r="C274" s="55">
        <v>0</v>
      </c>
      <c r="D274" s="59">
        <v>3239.71</v>
      </c>
      <c r="E274" s="59">
        <v>3239.71</v>
      </c>
      <c r="F274" s="55">
        <v>0</v>
      </c>
    </row>
    <row r="276" spans="1:6" x14ac:dyDescent="0.2">
      <c r="A276" s="55">
        <v>42401</v>
      </c>
      <c r="B276" s="55" t="s">
        <v>313</v>
      </c>
      <c r="C276" s="55">
        <v>0</v>
      </c>
      <c r="D276" s="59">
        <v>2803.24</v>
      </c>
      <c r="E276" s="59">
        <v>2803.24</v>
      </c>
      <c r="F276" s="55">
        <v>0</v>
      </c>
    </row>
    <row r="277" spans="1:6" x14ac:dyDescent="0.2">
      <c r="A277" s="55">
        <v>42401004</v>
      </c>
      <c r="B277" s="55" t="s">
        <v>158</v>
      </c>
      <c r="C277" s="59">
        <v>0</v>
      </c>
      <c r="D277" s="59">
        <v>407.54</v>
      </c>
      <c r="E277" s="59">
        <v>407.54</v>
      </c>
      <c r="F277" s="59">
        <v>0</v>
      </c>
    </row>
    <row r="278" spans="1:6" x14ac:dyDescent="0.2">
      <c r="A278" s="55">
        <v>42401005</v>
      </c>
      <c r="B278" s="55" t="s">
        <v>314</v>
      </c>
      <c r="C278" s="55">
        <v>0</v>
      </c>
      <c r="D278" s="59">
        <v>2298.9299999999998</v>
      </c>
      <c r="E278" s="59">
        <v>2298.9299999999998</v>
      </c>
      <c r="F278" s="55">
        <v>0</v>
      </c>
    </row>
    <row r="279" spans="1:6" x14ac:dyDescent="0.2">
      <c r="A279" s="55">
        <v>42401007</v>
      </c>
      <c r="B279" s="55" t="s">
        <v>159</v>
      </c>
      <c r="C279" s="59">
        <v>0</v>
      </c>
      <c r="D279" s="59">
        <v>96.77</v>
      </c>
      <c r="E279" s="59">
        <v>96.77</v>
      </c>
      <c r="F279" s="59">
        <v>0</v>
      </c>
    </row>
    <row r="281" spans="1:6" x14ac:dyDescent="0.2">
      <c r="A281" s="55">
        <v>42402</v>
      </c>
      <c r="B281" s="55" t="s">
        <v>160</v>
      </c>
      <c r="C281" s="55">
        <v>0</v>
      </c>
      <c r="D281" s="59">
        <v>436.47</v>
      </c>
      <c r="E281" s="59">
        <v>436.47</v>
      </c>
      <c r="F281" s="55">
        <v>0</v>
      </c>
    </row>
    <row r="282" spans="1:6" x14ac:dyDescent="0.2">
      <c r="A282" s="55">
        <v>42402003</v>
      </c>
      <c r="B282" s="55" t="s">
        <v>315</v>
      </c>
      <c r="C282" s="55">
        <v>0</v>
      </c>
      <c r="D282" s="59">
        <v>436.47</v>
      </c>
      <c r="E282" s="59">
        <v>436.47</v>
      </c>
      <c r="F282" s="55">
        <v>0</v>
      </c>
    </row>
    <row r="283" spans="1:6" x14ac:dyDescent="0.2">
      <c r="D283" s="59"/>
      <c r="E283" s="59"/>
    </row>
    <row r="284" spans="1:6" x14ac:dyDescent="0.2">
      <c r="A284" s="55">
        <v>44</v>
      </c>
      <c r="B284" s="55" t="s">
        <v>316</v>
      </c>
      <c r="C284" s="55">
        <v>0</v>
      </c>
      <c r="D284" s="59">
        <v>1125</v>
      </c>
      <c r="E284" s="59">
        <v>1125</v>
      </c>
      <c r="F284" s="55" t="s">
        <v>317</v>
      </c>
    </row>
    <row r="285" spans="1:6" x14ac:dyDescent="0.2">
      <c r="D285" s="59"/>
      <c r="E285" s="59"/>
    </row>
    <row r="286" spans="1:6" x14ac:dyDescent="0.2">
      <c r="A286" s="55">
        <v>441</v>
      </c>
      <c r="B286" s="55" t="s">
        <v>318</v>
      </c>
      <c r="C286" s="55">
        <v>0</v>
      </c>
      <c r="D286" s="59">
        <v>1125</v>
      </c>
      <c r="E286" s="59">
        <v>1125</v>
      </c>
      <c r="F286" s="55">
        <v>0</v>
      </c>
    </row>
    <row r="288" spans="1:6" x14ac:dyDescent="0.2">
      <c r="A288" s="55">
        <v>44101</v>
      </c>
      <c r="B288" s="55" t="s">
        <v>280</v>
      </c>
      <c r="C288" s="59">
        <v>0</v>
      </c>
      <c r="D288" s="59">
        <v>1125</v>
      </c>
      <c r="E288" s="59">
        <v>1125</v>
      </c>
      <c r="F288" s="59">
        <v>0</v>
      </c>
    </row>
    <row r="289" spans="1:6" x14ac:dyDescent="0.2">
      <c r="A289" s="55">
        <v>44101002</v>
      </c>
      <c r="B289" s="55" t="s">
        <v>104</v>
      </c>
      <c r="C289" s="55">
        <v>0</v>
      </c>
      <c r="D289" s="59">
        <v>1125</v>
      </c>
      <c r="E289" s="59">
        <v>1125</v>
      </c>
      <c r="F289" s="55">
        <v>0</v>
      </c>
    </row>
    <row r="290" spans="1:6" x14ac:dyDescent="0.2">
      <c r="D290" s="59"/>
      <c r="E290" s="59"/>
    </row>
    <row r="291" spans="1:6" x14ac:dyDescent="0.2">
      <c r="A291" s="55">
        <v>45</v>
      </c>
      <c r="B291" s="55" t="s">
        <v>319</v>
      </c>
      <c r="C291" s="59">
        <v>0</v>
      </c>
      <c r="D291" s="59">
        <v>1104140.72</v>
      </c>
      <c r="E291" s="59">
        <v>1104140.72</v>
      </c>
      <c r="F291" s="59">
        <v>0</v>
      </c>
    </row>
    <row r="293" spans="1:6" x14ac:dyDescent="0.2">
      <c r="A293" s="55">
        <v>451</v>
      </c>
      <c r="B293" s="55" t="s">
        <v>320</v>
      </c>
      <c r="C293" s="59">
        <v>0</v>
      </c>
      <c r="D293" s="59">
        <v>1104140.72</v>
      </c>
      <c r="E293" s="59">
        <v>1104140.72</v>
      </c>
      <c r="F293" s="55">
        <v>0</v>
      </c>
    </row>
    <row r="294" spans="1:6" x14ac:dyDescent="0.2">
      <c r="C294" s="59"/>
      <c r="D294" s="59"/>
      <c r="E294" s="59"/>
    </row>
    <row r="295" spans="1:6" x14ac:dyDescent="0.2">
      <c r="A295" s="55">
        <v>45101</v>
      </c>
      <c r="B295" s="55" t="s">
        <v>321</v>
      </c>
      <c r="C295" s="55">
        <v>0</v>
      </c>
      <c r="D295" s="59">
        <v>1104140.72</v>
      </c>
      <c r="E295" s="59">
        <v>1104140.72</v>
      </c>
      <c r="F295" s="55">
        <v>0</v>
      </c>
    </row>
    <row r="296" spans="1:6" x14ac:dyDescent="0.2">
      <c r="A296" s="55">
        <v>45101001</v>
      </c>
      <c r="B296" s="55" t="s">
        <v>118</v>
      </c>
      <c r="C296" s="59">
        <v>0</v>
      </c>
      <c r="D296" s="59">
        <v>1104140.72</v>
      </c>
      <c r="E296" s="59">
        <v>1104140.72</v>
      </c>
      <c r="F296" s="59">
        <v>0</v>
      </c>
    </row>
    <row r="297" spans="1:6" x14ac:dyDescent="0.2">
      <c r="D297" s="59">
        <v>4767036.33</v>
      </c>
      <c r="E297" s="59">
        <v>4767036.33</v>
      </c>
    </row>
    <row r="298" spans="1:6" x14ac:dyDescent="0.2">
      <c r="C298" s="59"/>
      <c r="F298" s="59"/>
    </row>
    <row r="299" spans="1:6" x14ac:dyDescent="0.2">
      <c r="C299" s="59"/>
      <c r="F299" s="59"/>
    </row>
    <row r="300" spans="1:6" x14ac:dyDescent="0.2">
      <c r="B300" s="55" t="s">
        <v>172</v>
      </c>
      <c r="C300" s="59"/>
      <c r="F300" s="59"/>
    </row>
    <row r="301" spans="1:6" x14ac:dyDescent="0.2">
      <c r="C301" s="59"/>
      <c r="F301" s="59"/>
    </row>
    <row r="302" spans="1:6" x14ac:dyDescent="0.2">
      <c r="C302" s="59"/>
      <c r="F302" s="59"/>
    </row>
    <row r="304" spans="1:6" x14ac:dyDescent="0.2">
      <c r="C304" s="59"/>
      <c r="D304" s="59"/>
      <c r="E304" s="59"/>
      <c r="F304" s="59"/>
    </row>
    <row r="305" spans="2:7" x14ac:dyDescent="0.2">
      <c r="B305" s="5" t="s">
        <v>183</v>
      </c>
      <c r="C305" s="5"/>
      <c r="D305" s="7" t="s">
        <v>185</v>
      </c>
      <c r="E305" s="7"/>
      <c r="F305" s="79"/>
      <c r="G305" s="1"/>
    </row>
    <row r="306" spans="2:7" x14ac:dyDescent="0.2">
      <c r="B306" s="5" t="s">
        <v>4</v>
      </c>
      <c r="C306" s="5"/>
      <c r="D306" s="89" t="s">
        <v>186</v>
      </c>
      <c r="E306" s="89"/>
      <c r="F306" s="79"/>
      <c r="G306" s="11"/>
    </row>
    <row r="307" spans="2:7" x14ac:dyDescent="0.2">
      <c r="B307" s="5" t="s">
        <v>184</v>
      </c>
      <c r="C307" s="87"/>
      <c r="D307" s="89" t="s">
        <v>187</v>
      </c>
      <c r="E307" s="89"/>
      <c r="F307" s="79"/>
      <c r="G307" s="11"/>
    </row>
    <row r="308" spans="2:7" x14ac:dyDescent="0.2">
      <c r="C308" s="59"/>
      <c r="D308" s="59"/>
      <c r="E308" s="59"/>
      <c r="F308" s="59"/>
    </row>
    <row r="309" spans="2:7" x14ac:dyDescent="0.2">
      <c r="C309" s="59"/>
      <c r="E309" s="59"/>
      <c r="F309" s="59"/>
    </row>
    <row r="310" spans="2:7" x14ac:dyDescent="0.2">
      <c r="C310" s="59"/>
      <c r="D310" s="59"/>
      <c r="E310" s="59"/>
      <c r="F310" s="59"/>
    </row>
    <row r="311" spans="2:7" x14ac:dyDescent="0.2">
      <c r="C311" s="59"/>
      <c r="D311" s="59"/>
      <c r="E311" s="59"/>
      <c r="F311" s="59"/>
    </row>
    <row r="312" spans="2:7" x14ac:dyDescent="0.2">
      <c r="E312" s="59"/>
      <c r="F312" s="59"/>
    </row>
    <row r="314" spans="2:7" x14ac:dyDescent="0.2">
      <c r="C314" s="59"/>
      <c r="D314" s="59"/>
      <c r="E314" s="59"/>
      <c r="F314" s="59"/>
    </row>
    <row r="316" spans="2:7" x14ac:dyDescent="0.2">
      <c r="C316" s="59"/>
      <c r="D316" s="59"/>
      <c r="E316" s="59"/>
      <c r="F316" s="59"/>
    </row>
    <row r="317" spans="2:7" x14ac:dyDescent="0.2">
      <c r="C317" s="59"/>
      <c r="D317" s="59"/>
      <c r="E317" s="59"/>
      <c r="F317" s="59"/>
    </row>
    <row r="318" spans="2:7" x14ac:dyDescent="0.2">
      <c r="D318" s="59"/>
      <c r="F318" s="59"/>
    </row>
    <row r="320" spans="2:7" x14ac:dyDescent="0.2">
      <c r="C320" s="59"/>
      <c r="D320" s="59"/>
      <c r="E320" s="59"/>
      <c r="F320" s="59"/>
    </row>
    <row r="321" spans="3:6" x14ac:dyDescent="0.2">
      <c r="C321" s="59"/>
      <c r="D321" s="59"/>
      <c r="E321" s="59"/>
      <c r="F321" s="59"/>
    </row>
    <row r="322" spans="3:6" x14ac:dyDescent="0.2">
      <c r="C322" s="59"/>
      <c r="D322" s="59"/>
    </row>
    <row r="323" spans="3:6" x14ac:dyDescent="0.2">
      <c r="E323" s="59"/>
      <c r="F323" s="59"/>
    </row>
    <row r="325" spans="3:6" x14ac:dyDescent="0.2">
      <c r="D325" s="59"/>
      <c r="E325" s="59"/>
      <c r="F325" s="59"/>
    </row>
    <row r="326" spans="3:6" x14ac:dyDescent="0.2">
      <c r="D326" s="59"/>
      <c r="E326" s="59"/>
      <c r="F326" s="59"/>
    </row>
    <row r="327" spans="3:6" x14ac:dyDescent="0.2">
      <c r="D327" s="59"/>
      <c r="E327" s="59"/>
    </row>
    <row r="328" spans="3:6" x14ac:dyDescent="0.2">
      <c r="D328" s="59"/>
      <c r="F328" s="59"/>
    </row>
    <row r="330" spans="3:6" x14ac:dyDescent="0.2">
      <c r="C330" s="59"/>
      <c r="D330" s="59"/>
      <c r="E330" s="59"/>
      <c r="F330" s="59"/>
    </row>
    <row r="331" spans="3:6" x14ac:dyDescent="0.2">
      <c r="C331" s="59"/>
      <c r="D331" s="59"/>
      <c r="E331" s="59"/>
      <c r="F331" s="59"/>
    </row>
    <row r="332" spans="3:6" x14ac:dyDescent="0.2">
      <c r="C332" s="59"/>
      <c r="D332" s="59"/>
      <c r="E332" s="59"/>
      <c r="F332" s="59"/>
    </row>
    <row r="333" spans="3:6" x14ac:dyDescent="0.2">
      <c r="C333" s="59"/>
      <c r="D333" s="59"/>
    </row>
    <row r="334" spans="3:6" x14ac:dyDescent="0.2">
      <c r="E334" s="59"/>
      <c r="F334" s="59"/>
    </row>
    <row r="336" spans="3:6" x14ac:dyDescent="0.2">
      <c r="C336" s="59"/>
      <c r="D336" s="59"/>
      <c r="E336" s="59"/>
      <c r="F336" s="59"/>
    </row>
    <row r="337" spans="1:6" x14ac:dyDescent="0.2">
      <c r="C337" s="59"/>
      <c r="D337" s="59"/>
      <c r="E337" s="59"/>
      <c r="F337" s="59"/>
    </row>
    <row r="338" spans="1:6" x14ac:dyDescent="0.2">
      <c r="C338" s="59"/>
      <c r="D338" s="59"/>
      <c r="E338" s="59"/>
      <c r="F338" s="59"/>
    </row>
    <row r="339" spans="1:6" x14ac:dyDescent="0.2">
      <c r="D339" s="59"/>
      <c r="F339" s="59"/>
    </row>
    <row r="340" spans="1:6" x14ac:dyDescent="0.2">
      <c r="C340" s="59"/>
      <c r="E340" s="59"/>
    </row>
    <row r="342" spans="1:6" x14ac:dyDescent="0.2">
      <c r="B342" s="60"/>
      <c r="D342" s="59"/>
      <c r="E342" s="59"/>
    </row>
    <row r="344" spans="1:6" x14ac:dyDescent="0.2">
      <c r="D344" s="59"/>
      <c r="E344" s="59"/>
    </row>
    <row r="346" spans="1:6" x14ac:dyDescent="0.2">
      <c r="D346" s="59"/>
      <c r="E346" s="59"/>
    </row>
    <row r="347" spans="1:6" x14ac:dyDescent="0.2">
      <c r="D347" s="59"/>
      <c r="E347" s="59"/>
    </row>
    <row r="348" spans="1:6" x14ac:dyDescent="0.2">
      <c r="D348" s="59"/>
      <c r="E348" s="59"/>
    </row>
    <row r="350" spans="1:6" x14ac:dyDescent="0.2">
      <c r="A350" s="55" t="s">
        <v>214</v>
      </c>
      <c r="B350" s="55" t="s">
        <v>215</v>
      </c>
      <c r="C350" s="55" t="s">
        <v>86</v>
      </c>
      <c r="D350" s="59" t="s">
        <v>167</v>
      </c>
      <c r="E350" s="59" t="s">
        <v>85</v>
      </c>
      <c r="F350" s="55" t="s">
        <v>216</v>
      </c>
    </row>
    <row r="351" spans="1:6" x14ac:dyDescent="0.2">
      <c r="D351" s="59"/>
      <c r="E351" s="59"/>
      <c r="F351" s="55" t="s">
        <v>322</v>
      </c>
    </row>
    <row r="352" spans="1:6" x14ac:dyDescent="0.2">
      <c r="A352" s="55" t="s">
        <v>213</v>
      </c>
      <c r="D352" s="59"/>
      <c r="E352" s="59"/>
    </row>
    <row r="354" spans="3:6" x14ac:dyDescent="0.2">
      <c r="D354" s="59"/>
      <c r="E354" s="59"/>
    </row>
    <row r="355" spans="3:6" x14ac:dyDescent="0.2">
      <c r="D355" s="59"/>
      <c r="E355" s="59"/>
    </row>
    <row r="356" spans="3:6" x14ac:dyDescent="0.2">
      <c r="D356" s="59"/>
      <c r="E356" s="59"/>
    </row>
    <row r="357" spans="3:6" x14ac:dyDescent="0.2">
      <c r="D357" s="59"/>
      <c r="E357" s="59"/>
    </row>
    <row r="359" spans="3:6" x14ac:dyDescent="0.2">
      <c r="D359" s="59"/>
      <c r="E359" s="59"/>
      <c r="F359" s="59"/>
    </row>
    <row r="361" spans="3:6" x14ac:dyDescent="0.2">
      <c r="D361" s="59"/>
      <c r="E361" s="59"/>
      <c r="F361" s="59"/>
    </row>
    <row r="363" spans="3:6" x14ac:dyDescent="0.2">
      <c r="D363" s="59"/>
      <c r="E363" s="59"/>
      <c r="F363" s="59"/>
    </row>
    <row r="364" spans="3:6" x14ac:dyDescent="0.2">
      <c r="D364" s="59"/>
      <c r="E364" s="59"/>
      <c r="F364" s="59"/>
    </row>
    <row r="365" spans="3:6" x14ac:dyDescent="0.2">
      <c r="D365" s="59"/>
      <c r="E365" s="59"/>
      <c r="F365" s="59"/>
    </row>
    <row r="366" spans="3:6" x14ac:dyDescent="0.2">
      <c r="E366" s="59"/>
      <c r="F366" s="59"/>
    </row>
    <row r="368" spans="3:6" x14ac:dyDescent="0.2">
      <c r="C368" s="59"/>
      <c r="D368" s="59"/>
    </row>
    <row r="370" spans="3:6" x14ac:dyDescent="0.2">
      <c r="C370" s="59"/>
      <c r="D370" s="59"/>
    </row>
    <row r="372" spans="3:6" x14ac:dyDescent="0.2">
      <c r="C372" s="59"/>
      <c r="D372" s="59"/>
    </row>
    <row r="374" spans="3:6" x14ac:dyDescent="0.2">
      <c r="C374" s="59"/>
      <c r="D374" s="59"/>
    </row>
    <row r="375" spans="3:6" x14ac:dyDescent="0.2">
      <c r="C375" s="59"/>
      <c r="D375" s="59"/>
    </row>
    <row r="377" spans="3:6" x14ac:dyDescent="0.2">
      <c r="C377" s="59"/>
      <c r="D377" s="59"/>
      <c r="E377" s="59"/>
      <c r="F377" s="59"/>
    </row>
    <row r="379" spans="3:6" x14ac:dyDescent="0.2">
      <c r="C379" s="59"/>
      <c r="D379" s="59"/>
      <c r="E379" s="59"/>
      <c r="F379" s="59"/>
    </row>
    <row r="381" spans="3:6" x14ac:dyDescent="0.2">
      <c r="C381" s="59"/>
      <c r="D381" s="59"/>
      <c r="E381" s="59"/>
      <c r="F381" s="59"/>
    </row>
    <row r="383" spans="3:6" x14ac:dyDescent="0.2">
      <c r="C383" s="59"/>
      <c r="E383" s="59"/>
      <c r="F383" s="59"/>
    </row>
    <row r="384" spans="3:6" x14ac:dyDescent="0.2">
      <c r="C384" s="59"/>
      <c r="E384" s="59"/>
      <c r="F384" s="59"/>
    </row>
    <row r="386" spans="3:6" x14ac:dyDescent="0.2">
      <c r="C386" s="59"/>
      <c r="D386" s="59"/>
      <c r="E386" s="59"/>
      <c r="F386" s="59"/>
    </row>
    <row r="387" spans="3:6" x14ac:dyDescent="0.2">
      <c r="C387" s="59"/>
      <c r="E387" s="59"/>
    </row>
    <row r="388" spans="3:6" x14ac:dyDescent="0.2">
      <c r="D388" s="59"/>
      <c r="E388" s="59"/>
      <c r="F388" s="59"/>
    </row>
    <row r="390" spans="3:6" x14ac:dyDescent="0.2">
      <c r="D390" s="59"/>
      <c r="F390" s="59"/>
    </row>
    <row r="392" spans="3:6" x14ac:dyDescent="0.2">
      <c r="D392" s="59"/>
      <c r="F392" s="59"/>
    </row>
    <row r="394" spans="3:6" x14ac:dyDescent="0.2">
      <c r="D394" s="59"/>
      <c r="F394" s="59"/>
    </row>
    <row r="395" spans="3:6" x14ac:dyDescent="0.2">
      <c r="D395" s="59"/>
      <c r="F395" s="59"/>
    </row>
    <row r="397" spans="3:6" x14ac:dyDescent="0.2">
      <c r="E397" s="59"/>
      <c r="F397" s="59"/>
    </row>
    <row r="399" spans="3:6" x14ac:dyDescent="0.2">
      <c r="E399" s="59"/>
      <c r="F399" s="59"/>
    </row>
    <row r="401" spans="5:6" x14ac:dyDescent="0.2">
      <c r="E401" s="59"/>
      <c r="F401" s="59"/>
    </row>
    <row r="403" spans="5:6" x14ac:dyDescent="0.2">
      <c r="E403" s="59"/>
      <c r="F403" s="59"/>
    </row>
    <row r="405" spans="5:6" x14ac:dyDescent="0.2">
      <c r="E405" s="59"/>
      <c r="F405" s="59"/>
    </row>
    <row r="406" spans="5:6" x14ac:dyDescent="0.2">
      <c r="E406" s="59"/>
      <c r="F406" s="59"/>
    </row>
    <row r="407" spans="5:6" x14ac:dyDescent="0.2">
      <c r="E407" s="59"/>
      <c r="F407" s="59"/>
    </row>
    <row r="409" spans="5:6" x14ac:dyDescent="0.2">
      <c r="E409" s="59"/>
      <c r="F409" s="59"/>
    </row>
    <row r="410" spans="5:6" x14ac:dyDescent="0.2">
      <c r="E410" s="59"/>
      <c r="F410" s="59"/>
    </row>
    <row r="411" spans="5:6" x14ac:dyDescent="0.2">
      <c r="E411" s="59"/>
      <c r="F411" s="59"/>
    </row>
    <row r="413" spans="5:6" x14ac:dyDescent="0.2">
      <c r="E413" s="59"/>
      <c r="F413" s="59"/>
    </row>
    <row r="415" spans="5:6" x14ac:dyDescent="0.2">
      <c r="E415" s="59"/>
      <c r="F415" s="59"/>
    </row>
    <row r="416" spans="5:6" x14ac:dyDescent="0.2">
      <c r="E416" s="59"/>
      <c r="F416" s="59"/>
    </row>
    <row r="418" spans="5:6" x14ac:dyDescent="0.2">
      <c r="E418" s="59"/>
      <c r="F418" s="59"/>
    </row>
    <row r="420" spans="5:6" x14ac:dyDescent="0.2">
      <c r="E420" s="59"/>
      <c r="F420" s="59"/>
    </row>
    <row r="422" spans="5:6" x14ac:dyDescent="0.2">
      <c r="E422" s="59"/>
      <c r="F422" s="59"/>
    </row>
    <row r="423" spans="5:6" x14ac:dyDescent="0.2">
      <c r="E423" s="59"/>
      <c r="F423" s="59"/>
    </row>
    <row r="424" spans="5:6" x14ac:dyDescent="0.2">
      <c r="E424" s="59"/>
      <c r="F424" s="59"/>
    </row>
    <row r="426" spans="5:6" x14ac:dyDescent="0.2">
      <c r="E426" s="59"/>
      <c r="F426" s="59"/>
    </row>
    <row r="428" spans="5:6" x14ac:dyDescent="0.2">
      <c r="E428" s="59"/>
      <c r="F428" s="59"/>
    </row>
    <row r="429" spans="5:6" x14ac:dyDescent="0.2">
      <c r="E429" s="59"/>
    </row>
    <row r="430" spans="5:6" x14ac:dyDescent="0.2">
      <c r="E430" s="59"/>
      <c r="F430" s="59"/>
    </row>
    <row r="432" spans="5:6" x14ac:dyDescent="0.2">
      <c r="E432" s="59"/>
      <c r="F432" s="59"/>
    </row>
    <row r="434" spans="5:6" x14ac:dyDescent="0.2">
      <c r="E434" s="59"/>
      <c r="F434" s="59"/>
    </row>
    <row r="435" spans="5:6" x14ac:dyDescent="0.2">
      <c r="E435" s="59"/>
      <c r="F435" s="59"/>
    </row>
    <row r="437" spans="5:6" x14ac:dyDescent="0.2">
      <c r="E437" s="59"/>
      <c r="F437" s="59"/>
    </row>
    <row r="439" spans="5:6" x14ac:dyDescent="0.2">
      <c r="E439" s="59"/>
      <c r="F439" s="59"/>
    </row>
    <row r="440" spans="5:6" x14ac:dyDescent="0.2">
      <c r="E440" s="59"/>
      <c r="F440" s="59"/>
    </row>
    <row r="441" spans="5:6" x14ac:dyDescent="0.2">
      <c r="E441" s="59"/>
      <c r="F441" s="59"/>
    </row>
    <row r="442" spans="5:6" x14ac:dyDescent="0.2">
      <c r="E442" s="59"/>
      <c r="F442" s="59"/>
    </row>
    <row r="444" spans="5:6" x14ac:dyDescent="0.2">
      <c r="E444" s="59"/>
      <c r="F444" s="59"/>
    </row>
    <row r="447" spans="5:6" x14ac:dyDescent="0.2">
      <c r="E447" s="59"/>
      <c r="F447" s="59"/>
    </row>
    <row r="450" spans="5:6" x14ac:dyDescent="0.2">
      <c r="E450" s="59"/>
      <c r="F450" s="59"/>
    </row>
    <row r="451" spans="5:6" x14ac:dyDescent="0.2">
      <c r="E451" s="59"/>
      <c r="F451" s="59"/>
    </row>
    <row r="453" spans="5:6" x14ac:dyDescent="0.2">
      <c r="E453" s="59"/>
      <c r="F453" s="59"/>
    </row>
    <row r="454" spans="5:6" x14ac:dyDescent="0.2">
      <c r="E454" s="59"/>
      <c r="F454" s="59"/>
    </row>
    <row r="455" spans="5:6" x14ac:dyDescent="0.2">
      <c r="E455" s="59"/>
      <c r="F455" s="59"/>
    </row>
    <row r="456" spans="5:6" x14ac:dyDescent="0.2">
      <c r="E456" s="59"/>
      <c r="F456" s="59"/>
    </row>
    <row r="458" spans="5:6" x14ac:dyDescent="0.2">
      <c r="E458" s="59"/>
      <c r="F458" s="59"/>
    </row>
    <row r="460" spans="5:6" x14ac:dyDescent="0.2">
      <c r="E460" s="59"/>
      <c r="F460" s="59"/>
    </row>
    <row r="462" spans="5:6" x14ac:dyDescent="0.2">
      <c r="E462" s="59"/>
      <c r="F462" s="59"/>
    </row>
    <row r="464" spans="5:6" x14ac:dyDescent="0.2">
      <c r="E464" s="59"/>
      <c r="F464" s="59"/>
    </row>
    <row r="466" spans="5:6" x14ac:dyDescent="0.2">
      <c r="E466" s="59"/>
      <c r="F466" s="59"/>
    </row>
    <row r="467" spans="5:6" x14ac:dyDescent="0.2">
      <c r="E467" s="59"/>
      <c r="F467" s="59"/>
    </row>
    <row r="469" spans="5:6" x14ac:dyDescent="0.2">
      <c r="E469" s="59"/>
      <c r="F469" s="59"/>
    </row>
    <row r="470" spans="5:6" x14ac:dyDescent="0.2">
      <c r="E470" s="59"/>
      <c r="F470" s="59"/>
    </row>
    <row r="477" spans="5:6" x14ac:dyDescent="0.2">
      <c r="E477" s="59"/>
      <c r="F477" s="59"/>
    </row>
    <row r="479" spans="5:6" x14ac:dyDescent="0.2">
      <c r="E479" s="59"/>
      <c r="F479" s="59"/>
    </row>
    <row r="481" spans="5:6" x14ac:dyDescent="0.2">
      <c r="E481" s="59"/>
      <c r="F481" s="59"/>
    </row>
    <row r="482" spans="5:6" x14ac:dyDescent="0.2">
      <c r="E482" s="59"/>
      <c r="F482" s="59"/>
    </row>
    <row r="484" spans="5:6" x14ac:dyDescent="0.2">
      <c r="E484" s="59"/>
      <c r="F484" s="59"/>
    </row>
    <row r="485" spans="5:6" x14ac:dyDescent="0.2">
      <c r="E485" s="59"/>
      <c r="F485" s="59"/>
    </row>
    <row r="487" spans="5:6" x14ac:dyDescent="0.2">
      <c r="E487" s="59"/>
      <c r="F487" s="59"/>
    </row>
    <row r="489" spans="5:6" x14ac:dyDescent="0.2">
      <c r="E489" s="59"/>
      <c r="F489" s="59"/>
    </row>
    <row r="491" spans="5:6" x14ac:dyDescent="0.2">
      <c r="E491" s="59"/>
      <c r="F491" s="59"/>
    </row>
    <row r="493" spans="5:6" x14ac:dyDescent="0.2">
      <c r="E493" s="59"/>
      <c r="F493" s="59"/>
    </row>
    <row r="494" spans="5:6" x14ac:dyDescent="0.2">
      <c r="E494" s="59"/>
      <c r="F494" s="59"/>
    </row>
    <row r="503" spans="5:6" x14ac:dyDescent="0.2">
      <c r="E503" s="59"/>
      <c r="F503" s="59"/>
    </row>
    <row r="505" spans="5:6" x14ac:dyDescent="0.2">
      <c r="E505" s="59"/>
      <c r="F505" s="59"/>
    </row>
    <row r="507" spans="5:6" x14ac:dyDescent="0.2">
      <c r="E507" s="59"/>
      <c r="F507" s="59"/>
    </row>
    <row r="509" spans="5:6" x14ac:dyDescent="0.2">
      <c r="E509" s="59"/>
      <c r="F509" s="59"/>
    </row>
    <row r="510" spans="5:6" x14ac:dyDescent="0.2">
      <c r="E510" s="59"/>
      <c r="F510" s="59"/>
    </row>
    <row r="512" spans="5:6" x14ac:dyDescent="0.2">
      <c r="E512" s="59"/>
      <c r="F512" s="59"/>
    </row>
    <row r="513" spans="4:6" x14ac:dyDescent="0.2">
      <c r="E513" s="59"/>
      <c r="F513" s="59"/>
    </row>
    <row r="515" spans="4:6" x14ac:dyDescent="0.2">
      <c r="D515" s="59"/>
      <c r="E515" s="59"/>
      <c r="F515" s="59"/>
    </row>
    <row r="517" spans="4:6" x14ac:dyDescent="0.2">
      <c r="D517" s="59"/>
      <c r="E517" s="59"/>
      <c r="F517" s="59"/>
    </row>
    <row r="519" spans="4:6" x14ac:dyDescent="0.2">
      <c r="D519" s="59"/>
      <c r="E519" s="59"/>
      <c r="F519" s="59"/>
    </row>
    <row r="521" spans="4:6" x14ac:dyDescent="0.2">
      <c r="D521" s="59"/>
      <c r="E521" s="59"/>
      <c r="F521" s="59"/>
    </row>
    <row r="523" spans="4:6" x14ac:dyDescent="0.2">
      <c r="D523" s="59"/>
      <c r="E523" s="59"/>
      <c r="F523" s="59"/>
    </row>
    <row r="524" spans="4:6" x14ac:dyDescent="0.2">
      <c r="D524" s="59"/>
      <c r="F524" s="59"/>
    </row>
    <row r="525" spans="4:6" x14ac:dyDescent="0.2">
      <c r="D525" s="59"/>
      <c r="F525" s="59"/>
    </row>
    <row r="526" spans="4:6" x14ac:dyDescent="0.2">
      <c r="D526" s="59"/>
      <c r="F526" s="59"/>
    </row>
    <row r="527" spans="4:6" x14ac:dyDescent="0.2">
      <c r="D527" s="59"/>
      <c r="F527" s="59"/>
    </row>
    <row r="528" spans="4:6" x14ac:dyDescent="0.2">
      <c r="D528" s="59"/>
      <c r="F528" s="59"/>
    </row>
    <row r="529" spans="4:6" x14ac:dyDescent="0.2">
      <c r="D529" s="59"/>
      <c r="E529" s="59"/>
      <c r="F529" s="59"/>
    </row>
    <row r="531" spans="4:6" x14ac:dyDescent="0.2">
      <c r="D531" s="59"/>
      <c r="E531" s="59"/>
      <c r="F531" s="59"/>
    </row>
    <row r="532" spans="4:6" x14ac:dyDescent="0.2">
      <c r="D532" s="59"/>
      <c r="F532" s="59"/>
    </row>
    <row r="533" spans="4:6" x14ac:dyDescent="0.2">
      <c r="D533" s="59"/>
      <c r="E533" s="59"/>
      <c r="F533" s="59"/>
    </row>
    <row r="534" spans="4:6" x14ac:dyDescent="0.2">
      <c r="D534" s="59"/>
      <c r="E534" s="59"/>
      <c r="F534" s="59"/>
    </row>
    <row r="536" spans="4:6" x14ac:dyDescent="0.2">
      <c r="D536" s="59"/>
      <c r="F536" s="59"/>
    </row>
    <row r="537" spans="4:6" x14ac:dyDescent="0.2">
      <c r="D537" s="59"/>
      <c r="F537" s="59"/>
    </row>
    <row r="538" spans="4:6" x14ac:dyDescent="0.2">
      <c r="D538" s="59"/>
      <c r="F538" s="59"/>
    </row>
    <row r="540" spans="4:6" x14ac:dyDescent="0.2">
      <c r="D540" s="59"/>
      <c r="E540" s="59"/>
      <c r="F540" s="59"/>
    </row>
    <row r="541" spans="4:6" x14ac:dyDescent="0.2">
      <c r="D541" s="59"/>
      <c r="E541" s="59"/>
    </row>
    <row r="542" spans="4:6" x14ac:dyDescent="0.2">
      <c r="D542" s="59"/>
      <c r="E542" s="59"/>
    </row>
    <row r="543" spans="4:6" x14ac:dyDescent="0.2">
      <c r="D543" s="59"/>
      <c r="E543" s="59"/>
      <c r="F543" s="59"/>
    </row>
    <row r="544" spans="4:6" x14ac:dyDescent="0.2">
      <c r="D544" s="59"/>
      <c r="E544" s="59"/>
      <c r="F544" s="59"/>
    </row>
    <row r="546" spans="4:6" x14ac:dyDescent="0.2">
      <c r="D546" s="59"/>
      <c r="E546" s="59"/>
      <c r="F546" s="59"/>
    </row>
    <row r="548" spans="4:6" x14ac:dyDescent="0.2">
      <c r="D548" s="59"/>
      <c r="F548" s="59"/>
    </row>
    <row r="549" spans="4:6" x14ac:dyDescent="0.2">
      <c r="D549" s="59"/>
      <c r="F549" s="59"/>
    </row>
    <row r="551" spans="4:6" x14ac:dyDescent="0.2">
      <c r="D551" s="59"/>
      <c r="E551" s="59"/>
      <c r="F551" s="59"/>
    </row>
    <row r="552" spans="4:6" x14ac:dyDescent="0.2">
      <c r="D552" s="59"/>
      <c r="E552" s="59"/>
      <c r="F552" s="59"/>
    </row>
    <row r="553" spans="4:6" x14ac:dyDescent="0.2">
      <c r="D553" s="59"/>
      <c r="E553" s="59"/>
      <c r="F553" s="59"/>
    </row>
    <row r="554" spans="4:6" x14ac:dyDescent="0.2">
      <c r="D554" s="59"/>
      <c r="F554" s="59"/>
    </row>
    <row r="556" spans="4:6" x14ac:dyDescent="0.2">
      <c r="D556" s="59"/>
      <c r="E556" s="59"/>
      <c r="F556" s="59"/>
    </row>
    <row r="558" spans="4:6" x14ac:dyDescent="0.2">
      <c r="D558" s="59"/>
      <c r="E558" s="59"/>
      <c r="F558" s="59"/>
    </row>
    <row r="559" spans="4:6" x14ac:dyDescent="0.2">
      <c r="D559" s="59"/>
      <c r="E559" s="59"/>
      <c r="F559" s="59"/>
    </row>
    <row r="560" spans="4:6" x14ac:dyDescent="0.2">
      <c r="D560" s="59"/>
      <c r="E560" s="59"/>
      <c r="F560" s="59"/>
    </row>
    <row r="566" spans="4:6" x14ac:dyDescent="0.2">
      <c r="D566" s="59"/>
      <c r="F566" s="59"/>
    </row>
    <row r="568" spans="4:6" x14ac:dyDescent="0.2">
      <c r="D568" s="59"/>
      <c r="F568" s="59"/>
    </row>
    <row r="569" spans="4:6" x14ac:dyDescent="0.2">
      <c r="D569" s="59"/>
      <c r="F569" s="59"/>
    </row>
    <row r="572" spans="4:6" x14ac:dyDescent="0.2">
      <c r="D572" s="59"/>
      <c r="F572" s="59"/>
    </row>
    <row r="573" spans="4:6" x14ac:dyDescent="0.2">
      <c r="D573" s="59"/>
      <c r="F573" s="59"/>
    </row>
    <row r="574" spans="4:6" x14ac:dyDescent="0.2">
      <c r="D574" s="59"/>
      <c r="F574" s="59"/>
    </row>
    <row r="575" spans="4:6" x14ac:dyDescent="0.2">
      <c r="D575" s="59"/>
      <c r="F575" s="59"/>
    </row>
    <row r="576" spans="4:6" x14ac:dyDescent="0.2">
      <c r="D576" s="59"/>
      <c r="F576" s="59"/>
    </row>
    <row r="577" spans="4:6" x14ac:dyDescent="0.2">
      <c r="D577" s="59"/>
      <c r="F577" s="59"/>
    </row>
    <row r="579" spans="4:6" x14ac:dyDescent="0.2">
      <c r="D579" s="59"/>
      <c r="F579" s="59"/>
    </row>
    <row r="580" spans="4:6" x14ac:dyDescent="0.2">
      <c r="D580" s="59"/>
      <c r="F580" s="59"/>
    </row>
    <row r="581" spans="4:6" x14ac:dyDescent="0.2">
      <c r="D581" s="59"/>
      <c r="F581" s="59"/>
    </row>
    <row r="583" spans="4:6" x14ac:dyDescent="0.2">
      <c r="D583" s="59"/>
      <c r="F583" s="59"/>
    </row>
    <row r="585" spans="4:6" x14ac:dyDescent="0.2">
      <c r="D585" s="59"/>
      <c r="F585" s="59"/>
    </row>
    <row r="586" spans="4:6" x14ac:dyDescent="0.2">
      <c r="D586" s="59"/>
      <c r="F586" s="59"/>
    </row>
    <row r="587" spans="4:6" x14ac:dyDescent="0.2">
      <c r="D587" s="59"/>
      <c r="F587" s="59"/>
    </row>
    <row r="589" spans="4:6" x14ac:dyDescent="0.2">
      <c r="D589" s="59"/>
      <c r="E589" s="59"/>
      <c r="F589" s="59"/>
    </row>
    <row r="591" spans="4:6" x14ac:dyDescent="0.2">
      <c r="D591" s="59"/>
      <c r="E591" s="59"/>
      <c r="F591" s="59"/>
    </row>
    <row r="593" spans="4:6" x14ac:dyDescent="0.2">
      <c r="D593" s="59"/>
      <c r="E593" s="59"/>
      <c r="F593" s="59"/>
    </row>
    <row r="594" spans="4:6" x14ac:dyDescent="0.2">
      <c r="D594" s="59"/>
      <c r="F594" s="59"/>
    </row>
    <row r="595" spans="4:6" x14ac:dyDescent="0.2">
      <c r="D595" s="59"/>
      <c r="F595" s="59"/>
    </row>
    <row r="597" spans="4:6" x14ac:dyDescent="0.2">
      <c r="D597" s="59"/>
      <c r="E597" s="59"/>
      <c r="F597" s="59"/>
    </row>
    <row r="598" spans="4:6" x14ac:dyDescent="0.2">
      <c r="D598" s="59"/>
      <c r="F598" s="59"/>
    </row>
    <row r="599" spans="4:6" x14ac:dyDescent="0.2">
      <c r="D599" s="59"/>
      <c r="E599" s="59"/>
      <c r="F599" s="59"/>
    </row>
    <row r="601" spans="4:6" x14ac:dyDescent="0.2">
      <c r="D601" s="59"/>
      <c r="E601" s="59"/>
      <c r="F601" s="59"/>
    </row>
    <row r="602" spans="4:6" x14ac:dyDescent="0.2">
      <c r="D602" s="59"/>
      <c r="E602" s="59"/>
      <c r="F602" s="59"/>
    </row>
    <row r="603" spans="4:6" x14ac:dyDescent="0.2">
      <c r="D603" s="59"/>
      <c r="E603" s="59"/>
      <c r="F603" s="59"/>
    </row>
    <row r="604" spans="4:6" x14ac:dyDescent="0.2">
      <c r="D604" s="59"/>
      <c r="E604" s="59"/>
      <c r="F604" s="59"/>
    </row>
    <row r="607" spans="4:6" x14ac:dyDescent="0.2">
      <c r="D607" s="59"/>
      <c r="F607" s="59"/>
    </row>
    <row r="608" spans="4:6" x14ac:dyDescent="0.2">
      <c r="D608" s="59"/>
      <c r="F608" s="59"/>
    </row>
    <row r="609" spans="4:6" x14ac:dyDescent="0.2">
      <c r="D609" s="59"/>
      <c r="F609" s="59"/>
    </row>
    <row r="611" spans="4:6" x14ac:dyDescent="0.2">
      <c r="D611" s="59"/>
      <c r="E611" s="59"/>
      <c r="F611" s="59"/>
    </row>
    <row r="612" spans="4:6" x14ac:dyDescent="0.2">
      <c r="D612" s="59"/>
      <c r="E612" s="59"/>
      <c r="F612" s="59"/>
    </row>
    <row r="613" spans="4:6" x14ac:dyDescent="0.2">
      <c r="D613" s="59"/>
      <c r="E613" s="59"/>
    </row>
    <row r="614" spans="4:6" x14ac:dyDescent="0.2">
      <c r="D614" s="59"/>
      <c r="E614" s="59"/>
      <c r="F614" s="59"/>
    </row>
    <row r="615" spans="4:6" x14ac:dyDescent="0.2">
      <c r="D615" s="59"/>
      <c r="E615" s="59"/>
    </row>
    <row r="617" spans="4:6" x14ac:dyDescent="0.2">
      <c r="D617" s="59"/>
      <c r="F617" s="59"/>
    </row>
    <row r="619" spans="4:6" x14ac:dyDescent="0.2">
      <c r="D619" s="59"/>
      <c r="F619" s="59"/>
    </row>
    <row r="620" spans="4:6" x14ac:dyDescent="0.2">
      <c r="D620" s="59"/>
      <c r="F620" s="59"/>
    </row>
    <row r="623" spans="4:6" x14ac:dyDescent="0.2">
      <c r="D623" s="59"/>
      <c r="F623" s="59"/>
    </row>
    <row r="625" spans="4:6" x14ac:dyDescent="0.2">
      <c r="D625" s="59"/>
      <c r="F625" s="59"/>
    </row>
    <row r="626" spans="4:6" x14ac:dyDescent="0.2">
      <c r="D626" s="59"/>
      <c r="F626" s="59"/>
    </row>
    <row r="627" spans="4:6" x14ac:dyDescent="0.2">
      <c r="D627" s="59"/>
      <c r="F627" s="59"/>
    </row>
    <row r="628" spans="4:6" x14ac:dyDescent="0.2">
      <c r="D628" s="59"/>
      <c r="F628" s="59"/>
    </row>
    <row r="629" spans="4:6" x14ac:dyDescent="0.2">
      <c r="D629" s="59"/>
      <c r="F629" s="59"/>
    </row>
    <row r="630" spans="4:6" x14ac:dyDescent="0.2">
      <c r="D630" s="59"/>
      <c r="F630" s="59"/>
    </row>
    <row r="631" spans="4:6" x14ac:dyDescent="0.2">
      <c r="D631" s="59"/>
      <c r="F631" s="59"/>
    </row>
    <row r="634" spans="4:6" x14ac:dyDescent="0.2">
      <c r="D634" s="59"/>
      <c r="F634" s="59"/>
    </row>
    <row r="635" spans="4:6" x14ac:dyDescent="0.2">
      <c r="D635" s="59"/>
      <c r="F635" s="59"/>
    </row>
    <row r="637" spans="4:6" x14ac:dyDescent="0.2">
      <c r="D637" s="59"/>
      <c r="E637" s="59"/>
      <c r="F637" s="59"/>
    </row>
    <row r="639" spans="4:6" x14ac:dyDescent="0.2">
      <c r="D639" s="59"/>
      <c r="E639" s="59"/>
      <c r="F639" s="59"/>
    </row>
    <row r="641" spans="4:6" x14ac:dyDescent="0.2">
      <c r="D641" s="59"/>
      <c r="E641" s="59"/>
      <c r="F641" s="59"/>
    </row>
    <row r="642" spans="4:6" x14ac:dyDescent="0.2">
      <c r="D642" s="59"/>
      <c r="F642" s="59"/>
    </row>
    <row r="643" spans="4:6" x14ac:dyDescent="0.2">
      <c r="D643" s="59"/>
      <c r="F643" s="59"/>
    </row>
    <row r="645" spans="4:6" x14ac:dyDescent="0.2">
      <c r="D645" s="59"/>
      <c r="E645" s="59"/>
      <c r="F645" s="59"/>
    </row>
    <row r="646" spans="4:6" x14ac:dyDescent="0.2">
      <c r="D646" s="59"/>
      <c r="E646" s="59"/>
      <c r="F646" s="59"/>
    </row>
    <row r="648" spans="4:6" x14ac:dyDescent="0.2">
      <c r="D648" s="59"/>
      <c r="E648" s="59"/>
      <c r="F648" s="59"/>
    </row>
    <row r="650" spans="4:6" x14ac:dyDescent="0.2">
      <c r="D650" s="59"/>
      <c r="F650" s="59"/>
    </row>
    <row r="651" spans="4:6" x14ac:dyDescent="0.2">
      <c r="D651" s="59"/>
      <c r="E651" s="59"/>
    </row>
    <row r="652" spans="4:6" x14ac:dyDescent="0.2">
      <c r="D652" s="59"/>
      <c r="E652" s="59"/>
      <c r="F652" s="59"/>
    </row>
    <row r="654" spans="4:6" x14ac:dyDescent="0.2">
      <c r="D654" s="59"/>
      <c r="F654" s="59"/>
    </row>
    <row r="655" spans="4:6" x14ac:dyDescent="0.2">
      <c r="D655" s="59"/>
      <c r="F655" s="59"/>
    </row>
    <row r="656" spans="4:6" x14ac:dyDescent="0.2">
      <c r="D656" s="59"/>
      <c r="F656" s="59"/>
    </row>
    <row r="658" spans="4:6" x14ac:dyDescent="0.2">
      <c r="D658" s="59"/>
      <c r="E658" s="59"/>
      <c r="F658" s="59"/>
    </row>
    <row r="659" spans="4:6" x14ac:dyDescent="0.2">
      <c r="D659" s="59"/>
      <c r="E659" s="59"/>
    </row>
    <row r="660" spans="4:6" x14ac:dyDescent="0.2">
      <c r="D660" s="59"/>
      <c r="E660" s="59"/>
    </row>
    <row r="661" spans="4:6" x14ac:dyDescent="0.2">
      <c r="D661" s="59"/>
      <c r="E661" s="59"/>
      <c r="F661" s="59"/>
    </row>
    <row r="664" spans="4:6" x14ac:dyDescent="0.2">
      <c r="D664" s="59"/>
      <c r="E664" s="59"/>
      <c r="F664" s="59"/>
    </row>
    <row r="666" spans="4:6" x14ac:dyDescent="0.2">
      <c r="D666" s="59"/>
      <c r="E666" s="59"/>
      <c r="F666" s="59"/>
    </row>
    <row r="668" spans="4:6" x14ac:dyDescent="0.2">
      <c r="D668" s="59"/>
      <c r="E668" s="59"/>
      <c r="F668" s="59"/>
    </row>
    <row r="670" spans="4:6" x14ac:dyDescent="0.2">
      <c r="D670" s="59"/>
      <c r="E670" s="59"/>
      <c r="F670" s="59"/>
    </row>
    <row r="671" spans="4:6" x14ac:dyDescent="0.2">
      <c r="D671" s="59"/>
      <c r="F671" s="59"/>
    </row>
    <row r="672" spans="4:6" x14ac:dyDescent="0.2">
      <c r="D672" s="59"/>
      <c r="F672" s="59"/>
    </row>
    <row r="674" spans="4:6" x14ac:dyDescent="0.2">
      <c r="D674" s="59"/>
      <c r="E674" s="59"/>
    </row>
    <row r="675" spans="4:6" x14ac:dyDescent="0.2">
      <c r="D675" s="59"/>
      <c r="F675" s="59"/>
    </row>
    <row r="676" spans="4:6" x14ac:dyDescent="0.2">
      <c r="D676" s="59"/>
      <c r="F676" s="59"/>
    </row>
    <row r="678" spans="4:6" x14ac:dyDescent="0.2">
      <c r="D678" s="59"/>
      <c r="E678" s="59"/>
      <c r="F678" s="59"/>
    </row>
    <row r="679" spans="4:6" x14ac:dyDescent="0.2">
      <c r="D679" s="59"/>
      <c r="F679" s="59"/>
    </row>
    <row r="680" spans="4:6" x14ac:dyDescent="0.2">
      <c r="D680" s="59"/>
    </row>
    <row r="681" spans="4:6" x14ac:dyDescent="0.2">
      <c r="D681" s="59"/>
      <c r="F681" s="59"/>
    </row>
    <row r="686" spans="4:6" x14ac:dyDescent="0.2">
      <c r="D686" s="59"/>
      <c r="F686" s="59"/>
    </row>
    <row r="687" spans="4:6" x14ac:dyDescent="0.2">
      <c r="D687" s="59"/>
      <c r="F687" s="59"/>
    </row>
    <row r="690" spans="4:6" x14ac:dyDescent="0.2">
      <c r="D690" s="59"/>
      <c r="E690" s="59"/>
      <c r="F690" s="59"/>
    </row>
    <row r="691" spans="4:6" x14ac:dyDescent="0.2">
      <c r="D691" s="59"/>
      <c r="E691" s="59"/>
    </row>
    <row r="693" spans="4:6" x14ac:dyDescent="0.2">
      <c r="D693" s="59"/>
      <c r="E693" s="59"/>
      <c r="F693" s="59"/>
    </row>
    <row r="694" spans="4:6" x14ac:dyDescent="0.2">
      <c r="D694" s="59"/>
      <c r="E694" s="59"/>
    </row>
    <row r="696" spans="4:6" x14ac:dyDescent="0.2">
      <c r="D696" s="59"/>
      <c r="F696" s="59"/>
    </row>
    <row r="698" spans="4:6" x14ac:dyDescent="0.2">
      <c r="D698" s="59"/>
      <c r="F698" s="59"/>
    </row>
    <row r="699" spans="4:6" x14ac:dyDescent="0.2">
      <c r="D699" s="59"/>
      <c r="F699" s="59"/>
    </row>
    <row r="700" spans="4:6" x14ac:dyDescent="0.2">
      <c r="D700" s="59"/>
      <c r="F700" s="59"/>
    </row>
    <row r="706" spans="4:6" x14ac:dyDescent="0.2">
      <c r="D706" s="59"/>
      <c r="F706" s="59"/>
    </row>
    <row r="709" spans="4:6" x14ac:dyDescent="0.2">
      <c r="D709" s="59"/>
      <c r="F709" s="59"/>
    </row>
    <row r="711" spans="4:6" x14ac:dyDescent="0.2">
      <c r="D711" s="59"/>
      <c r="F711" s="59"/>
    </row>
    <row r="713" spans="4:6" x14ac:dyDescent="0.2">
      <c r="D713" s="59"/>
      <c r="F713" s="59"/>
    </row>
    <row r="715" spans="4:6" x14ac:dyDescent="0.2">
      <c r="D715" s="59"/>
      <c r="F715" s="59"/>
    </row>
    <row r="718" spans="4:6" x14ac:dyDescent="0.2">
      <c r="D718" s="59"/>
      <c r="E718" s="59"/>
      <c r="F718" s="59"/>
    </row>
    <row r="720" spans="4:6" x14ac:dyDescent="0.2">
      <c r="D720" s="59"/>
      <c r="F720" s="59"/>
    </row>
    <row r="724" spans="4:6" x14ac:dyDescent="0.2">
      <c r="D724" s="59"/>
      <c r="F724" s="59"/>
    </row>
    <row r="725" spans="4:6" x14ac:dyDescent="0.2">
      <c r="D725" s="59"/>
      <c r="F725" s="59"/>
    </row>
    <row r="726" spans="4:6" x14ac:dyDescent="0.2">
      <c r="D726" s="59"/>
      <c r="F726" s="59"/>
    </row>
    <row r="727" spans="4:6" x14ac:dyDescent="0.2">
      <c r="D727" s="59"/>
      <c r="F727" s="59"/>
    </row>
    <row r="729" spans="4:6" x14ac:dyDescent="0.2">
      <c r="D729" s="59"/>
      <c r="F729" s="59"/>
    </row>
    <row r="730" spans="4:6" x14ac:dyDescent="0.2">
      <c r="D730" s="59"/>
      <c r="F730" s="59"/>
    </row>
    <row r="731" spans="4:6" x14ac:dyDescent="0.2">
      <c r="D731" s="59"/>
      <c r="F731" s="59"/>
    </row>
    <row r="734" spans="4:6" x14ac:dyDescent="0.2">
      <c r="D734" s="59"/>
      <c r="F734" s="59"/>
    </row>
    <row r="735" spans="4:6" x14ac:dyDescent="0.2">
      <c r="D735" s="59"/>
      <c r="F735" s="59"/>
    </row>
    <row r="736" spans="4:6" x14ac:dyDescent="0.2">
      <c r="D736" s="59"/>
      <c r="F736" s="59"/>
    </row>
    <row r="737" spans="4:6" x14ac:dyDescent="0.2">
      <c r="D737" s="59"/>
      <c r="F737" s="59"/>
    </row>
    <row r="739" spans="4:6" x14ac:dyDescent="0.2">
      <c r="D739" s="59"/>
      <c r="F739" s="59"/>
    </row>
    <row r="742" spans="4:6" x14ac:dyDescent="0.2">
      <c r="D742" s="59"/>
      <c r="F742" s="59"/>
    </row>
    <row r="743" spans="4:6" x14ac:dyDescent="0.2">
      <c r="D743" s="59"/>
      <c r="F743" s="59"/>
    </row>
    <row r="744" spans="4:6" x14ac:dyDescent="0.2">
      <c r="D744" s="59"/>
      <c r="F744" s="59"/>
    </row>
    <row r="745" spans="4:6" x14ac:dyDescent="0.2">
      <c r="D745" s="59"/>
      <c r="F745" s="59"/>
    </row>
    <row r="746" spans="4:6" x14ac:dyDescent="0.2">
      <c r="D746" s="59"/>
      <c r="F746" s="59"/>
    </row>
    <row r="748" spans="4:6" x14ac:dyDescent="0.2">
      <c r="D748" s="59"/>
      <c r="F748" s="59"/>
    </row>
    <row r="750" spans="4:6" x14ac:dyDescent="0.2">
      <c r="D750" s="59"/>
      <c r="F750" s="59"/>
    </row>
    <row r="752" spans="4:6" x14ac:dyDescent="0.2">
      <c r="D752" s="59"/>
      <c r="F752" s="59"/>
    </row>
    <row r="753" spans="4:6" x14ac:dyDescent="0.2">
      <c r="D753" s="59"/>
      <c r="F753" s="59"/>
    </row>
    <row r="757" spans="4:6" x14ac:dyDescent="0.2">
      <c r="D757" s="59"/>
      <c r="E757" s="59"/>
      <c r="F757" s="59"/>
    </row>
    <row r="759" spans="4:6" x14ac:dyDescent="0.2">
      <c r="D759" s="59"/>
      <c r="E759" s="59"/>
      <c r="F759" s="59"/>
    </row>
    <row r="761" spans="4:6" x14ac:dyDescent="0.2">
      <c r="D761" s="59"/>
      <c r="F761" s="59"/>
    </row>
    <row r="763" spans="4:6" x14ac:dyDescent="0.2">
      <c r="D763" s="59"/>
      <c r="F763" s="59"/>
    </row>
    <row r="764" spans="4:6" x14ac:dyDescent="0.2">
      <c r="D764" s="59"/>
      <c r="F764" s="59"/>
    </row>
    <row r="765" spans="4:6" x14ac:dyDescent="0.2">
      <c r="D765" s="59"/>
      <c r="F765" s="59"/>
    </row>
    <row r="766" spans="4:6" x14ac:dyDescent="0.2">
      <c r="D766" s="59"/>
      <c r="F766" s="59"/>
    </row>
    <row r="767" spans="4:6" x14ac:dyDescent="0.2">
      <c r="D767" s="59"/>
      <c r="F767" s="59"/>
    </row>
    <row r="769" spans="4:6" x14ac:dyDescent="0.2">
      <c r="D769" s="59"/>
      <c r="E769" s="59"/>
      <c r="F769" s="59"/>
    </row>
    <row r="770" spans="4:6" x14ac:dyDescent="0.2">
      <c r="D770" s="59"/>
      <c r="F770" s="59"/>
    </row>
    <row r="771" spans="4:6" x14ac:dyDescent="0.2">
      <c r="D771" s="59"/>
      <c r="E771" s="59"/>
    </row>
    <row r="772" spans="4:6" x14ac:dyDescent="0.2">
      <c r="D772" s="59"/>
      <c r="E772" s="59"/>
      <c r="F772" s="59"/>
    </row>
    <row r="774" spans="4:6" x14ac:dyDescent="0.2">
      <c r="D774" s="59"/>
      <c r="F774" s="59"/>
    </row>
    <row r="775" spans="4:6" x14ac:dyDescent="0.2">
      <c r="D775" s="59"/>
      <c r="F775" s="59"/>
    </row>
    <row r="776" spans="4:6" x14ac:dyDescent="0.2">
      <c r="D776" s="59"/>
      <c r="F776" s="59"/>
    </row>
    <row r="778" spans="4:6" x14ac:dyDescent="0.2">
      <c r="D778" s="59"/>
      <c r="E778" s="59"/>
      <c r="F778" s="59"/>
    </row>
    <row r="779" spans="4:6" x14ac:dyDescent="0.2">
      <c r="D779" s="59"/>
      <c r="E779" s="59"/>
    </row>
    <row r="780" spans="4:6" x14ac:dyDescent="0.2">
      <c r="D780" s="59"/>
      <c r="E780" s="59"/>
    </row>
    <row r="781" spans="4:6" x14ac:dyDescent="0.2">
      <c r="D781" s="59"/>
      <c r="E781" s="59"/>
      <c r="F781" s="59"/>
    </row>
    <row r="782" spans="4:6" x14ac:dyDescent="0.2">
      <c r="D782" s="59"/>
      <c r="E782" s="59"/>
    </row>
    <row r="784" spans="4:6" x14ac:dyDescent="0.2">
      <c r="D784" s="59"/>
      <c r="F784" s="59"/>
    </row>
    <row r="786" spans="4:6" x14ac:dyDescent="0.2">
      <c r="D786" s="59"/>
      <c r="F786" s="59"/>
    </row>
    <row r="787" spans="4:6" x14ac:dyDescent="0.2">
      <c r="D787" s="59"/>
      <c r="F787" s="59"/>
    </row>
    <row r="788" spans="4:6" x14ac:dyDescent="0.2">
      <c r="D788" s="59"/>
      <c r="F788" s="59"/>
    </row>
    <row r="793" spans="4:6" x14ac:dyDescent="0.2">
      <c r="D793" s="59"/>
      <c r="F793" s="59"/>
    </row>
    <row r="795" spans="4:6" x14ac:dyDescent="0.2">
      <c r="D795" s="59"/>
      <c r="F795" s="59"/>
    </row>
    <row r="796" spans="4:6" x14ac:dyDescent="0.2">
      <c r="D796" s="59"/>
      <c r="F796" s="59"/>
    </row>
    <row r="798" spans="4:6" x14ac:dyDescent="0.2">
      <c r="D798" s="59"/>
      <c r="F798" s="59"/>
    </row>
    <row r="800" spans="4:6" x14ac:dyDescent="0.2">
      <c r="D800" s="59"/>
      <c r="F800" s="59"/>
    </row>
    <row r="802" spans="4:6" x14ac:dyDescent="0.2">
      <c r="D802" s="59"/>
      <c r="F802" s="59"/>
    </row>
    <row r="803" spans="4:6" x14ac:dyDescent="0.2">
      <c r="D803" s="59"/>
      <c r="F803" s="59"/>
    </row>
    <row r="804" spans="4:6" x14ac:dyDescent="0.2">
      <c r="D804" s="59"/>
      <c r="F804" s="59"/>
    </row>
    <row r="805" spans="4:6" x14ac:dyDescent="0.2">
      <c r="D805" s="59"/>
      <c r="F805" s="59"/>
    </row>
    <row r="806" spans="4:6" x14ac:dyDescent="0.2">
      <c r="D806" s="59"/>
      <c r="F806" s="59"/>
    </row>
    <row r="808" spans="4:6" x14ac:dyDescent="0.2">
      <c r="D808" s="59"/>
      <c r="F808" s="59"/>
    </row>
    <row r="809" spans="4:6" x14ac:dyDescent="0.2">
      <c r="D809" s="59"/>
      <c r="F809" s="59"/>
    </row>
    <row r="810" spans="4:6" x14ac:dyDescent="0.2">
      <c r="D810" s="59"/>
      <c r="F810" s="59"/>
    </row>
    <row r="819" spans="4:6" x14ac:dyDescent="0.2">
      <c r="D819" s="59"/>
      <c r="F819" s="59"/>
    </row>
    <row r="821" spans="4:6" x14ac:dyDescent="0.2">
      <c r="D821" s="59"/>
      <c r="F821" s="59"/>
    </row>
    <row r="826" spans="4:6" x14ac:dyDescent="0.2">
      <c r="D826" s="59"/>
      <c r="F826" s="59"/>
    </row>
    <row r="827" spans="4:6" x14ac:dyDescent="0.2">
      <c r="D827" s="59"/>
      <c r="F827" s="59"/>
    </row>
    <row r="836" spans="4:6" x14ac:dyDescent="0.2">
      <c r="D836" s="59"/>
      <c r="F836" s="59"/>
    </row>
    <row r="841" spans="4:6" x14ac:dyDescent="0.2">
      <c r="D841" s="59"/>
      <c r="F841" s="59"/>
    </row>
    <row r="842" spans="4:6" x14ac:dyDescent="0.2">
      <c r="D842" s="59"/>
      <c r="F842" s="59"/>
    </row>
    <row r="852" spans="4:5" x14ac:dyDescent="0.2">
      <c r="D852" s="59"/>
      <c r="E852" s="59"/>
    </row>
    <row r="854" spans="4:5" x14ac:dyDescent="0.2">
      <c r="D854" s="59"/>
      <c r="E854" s="59"/>
    </row>
    <row r="856" spans="4:5" x14ac:dyDescent="0.2">
      <c r="D856" s="59"/>
      <c r="E856" s="59"/>
    </row>
    <row r="858" spans="4:5" x14ac:dyDescent="0.2">
      <c r="D858" s="59"/>
      <c r="E858" s="59"/>
    </row>
    <row r="865" spans="4:6" x14ac:dyDescent="0.2">
      <c r="D865" s="59"/>
      <c r="F865" s="59"/>
    </row>
    <row r="866" spans="4:6" x14ac:dyDescent="0.2">
      <c r="D866" s="59"/>
      <c r="F866" s="59"/>
    </row>
    <row r="868" spans="4:6" x14ac:dyDescent="0.2">
      <c r="E868" s="59"/>
      <c r="F868" s="59"/>
    </row>
    <row r="869" spans="4:6" x14ac:dyDescent="0.2">
      <c r="E869" s="59"/>
      <c r="F869" s="59"/>
    </row>
    <row r="885" spans="2:5" x14ac:dyDescent="0.2">
      <c r="D885" s="59"/>
      <c r="E885" s="59"/>
    </row>
    <row r="894" spans="2:5" x14ac:dyDescent="0.2">
      <c r="B894" s="58"/>
      <c r="C894" s="58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3"/>
  <sheetViews>
    <sheetView workbookViewId="0">
      <selection activeCell="B20" sqref="B20"/>
    </sheetView>
  </sheetViews>
  <sheetFormatPr defaultRowHeight="12.75" x14ac:dyDescent="0.2"/>
  <cols>
    <col min="1" max="1" width="12.28515625" style="55" customWidth="1"/>
    <col min="2" max="2" width="45.42578125" style="55" customWidth="1"/>
    <col min="3" max="3" width="19.140625" style="55" bestFit="1" customWidth="1"/>
    <col min="4" max="4" width="20.140625" style="55" bestFit="1" customWidth="1"/>
    <col min="5" max="5" width="11.7109375" style="55" bestFit="1" customWidth="1"/>
    <col min="6" max="6" width="18.7109375" style="55" bestFit="1" customWidth="1"/>
    <col min="7" max="16384" width="9.140625" style="55"/>
  </cols>
  <sheetData>
    <row r="1" spans="1:6" x14ac:dyDescent="0.2">
      <c r="B1" s="55" t="s">
        <v>161</v>
      </c>
    </row>
    <row r="2" spans="1:6" x14ac:dyDescent="0.2">
      <c r="A2" s="55" t="s">
        <v>162</v>
      </c>
      <c r="C2" s="56" t="s">
        <v>163</v>
      </c>
      <c r="D2" s="57"/>
      <c r="E2" s="57">
        <v>40909</v>
      </c>
      <c r="F2" s="57">
        <v>41274</v>
      </c>
    </row>
    <row r="3" spans="1:6" x14ac:dyDescent="0.2">
      <c r="A3" s="55" t="s">
        <v>323</v>
      </c>
      <c r="B3" s="55" t="s">
        <v>326</v>
      </c>
      <c r="E3" s="56" t="s">
        <v>164</v>
      </c>
      <c r="F3" s="57">
        <v>41274</v>
      </c>
    </row>
    <row r="4" spans="1:6" x14ac:dyDescent="0.2">
      <c r="A4" s="55" t="s">
        <v>85</v>
      </c>
      <c r="B4" s="55" t="s">
        <v>165</v>
      </c>
      <c r="C4" s="55" t="s">
        <v>166</v>
      </c>
      <c r="D4" s="55" t="s">
        <v>167</v>
      </c>
      <c r="E4" s="55" t="s">
        <v>87</v>
      </c>
      <c r="F4" s="55" t="s">
        <v>87</v>
      </c>
    </row>
    <row r="5" spans="1:6" x14ac:dyDescent="0.2">
      <c r="A5" s="55" t="s">
        <v>168</v>
      </c>
      <c r="B5" s="55" t="s">
        <v>169</v>
      </c>
      <c r="C5" s="55" t="s">
        <v>88</v>
      </c>
      <c r="D5" s="55" t="s">
        <v>170</v>
      </c>
      <c r="E5" s="55" t="s">
        <v>171</v>
      </c>
      <c r="F5" s="55" t="s">
        <v>65</v>
      </c>
    </row>
    <row r="6" spans="1:6" x14ac:dyDescent="0.2">
      <c r="A6" s="55" t="s">
        <v>85</v>
      </c>
      <c r="B6" s="55" t="s">
        <v>165</v>
      </c>
      <c r="C6" s="55" t="s">
        <v>166</v>
      </c>
      <c r="D6" s="55" t="s">
        <v>167</v>
      </c>
      <c r="E6" s="55" t="s">
        <v>87</v>
      </c>
      <c r="F6" s="55" t="s">
        <v>87</v>
      </c>
    </row>
    <row r="8" spans="1:6" x14ac:dyDescent="0.2">
      <c r="A8" s="55">
        <v>1</v>
      </c>
      <c r="B8" s="55" t="s">
        <v>89</v>
      </c>
      <c r="C8" s="59">
        <v>40024.83</v>
      </c>
      <c r="D8" s="59">
        <v>1299310.54</v>
      </c>
      <c r="E8" s="59">
        <v>1297687.33</v>
      </c>
      <c r="F8" s="59">
        <v>41648.04</v>
      </c>
    </row>
    <row r="10" spans="1:6" x14ac:dyDescent="0.2">
      <c r="A10" s="55">
        <v>11</v>
      </c>
      <c r="B10" s="55" t="s">
        <v>90</v>
      </c>
      <c r="C10" s="59">
        <v>12859.11</v>
      </c>
      <c r="D10" s="59">
        <v>1290649.74</v>
      </c>
      <c r="E10" s="59">
        <v>1284354.07</v>
      </c>
      <c r="F10" s="59">
        <v>19154.78</v>
      </c>
    </row>
    <row r="12" spans="1:6" x14ac:dyDescent="0.2">
      <c r="A12" s="55">
        <v>111</v>
      </c>
      <c r="B12" s="55" t="s">
        <v>91</v>
      </c>
      <c r="C12" s="59">
        <v>12464.99</v>
      </c>
      <c r="D12" s="59">
        <v>1225503.42</v>
      </c>
      <c r="E12" s="59">
        <v>1221791.17</v>
      </c>
      <c r="F12" s="59">
        <v>16177.24</v>
      </c>
    </row>
    <row r="14" spans="1:6" x14ac:dyDescent="0.2">
      <c r="A14" s="55">
        <v>11101</v>
      </c>
      <c r="B14" s="55" t="s">
        <v>92</v>
      </c>
      <c r="C14" s="59">
        <v>1824.63</v>
      </c>
      <c r="D14" s="59">
        <v>51253.1</v>
      </c>
      <c r="E14" s="59">
        <v>49418.26</v>
      </c>
      <c r="F14" s="59">
        <v>3659.47</v>
      </c>
    </row>
    <row r="15" spans="1:6" x14ac:dyDescent="0.2">
      <c r="A15" s="55">
        <v>11101001</v>
      </c>
      <c r="B15" s="55" t="s">
        <v>93</v>
      </c>
      <c r="C15" s="59">
        <v>1824.63</v>
      </c>
      <c r="D15" s="59">
        <v>51253.1</v>
      </c>
      <c r="E15" s="59">
        <v>49418.26</v>
      </c>
      <c r="F15" s="59">
        <v>3659.47</v>
      </c>
    </row>
    <row r="17" spans="1:6" x14ac:dyDescent="0.2">
      <c r="A17" s="55">
        <v>11102</v>
      </c>
      <c r="B17" s="55" t="s">
        <v>217</v>
      </c>
      <c r="C17" s="59">
        <v>3019.44</v>
      </c>
      <c r="D17" s="59">
        <v>869598.3</v>
      </c>
      <c r="E17" s="59">
        <v>872457.74</v>
      </c>
      <c r="F17" s="55">
        <v>160</v>
      </c>
    </row>
    <row r="18" spans="1:6" x14ac:dyDescent="0.2">
      <c r="A18" s="55">
        <v>11102001</v>
      </c>
      <c r="B18" s="55" t="s">
        <v>218</v>
      </c>
      <c r="C18" s="55">
        <v>0</v>
      </c>
      <c r="D18" s="59">
        <v>285398.55</v>
      </c>
      <c r="E18" s="59">
        <v>285248.55</v>
      </c>
      <c r="F18" s="55">
        <v>150</v>
      </c>
    </row>
    <row r="19" spans="1:6" x14ac:dyDescent="0.2">
      <c r="A19" s="55">
        <v>11102003</v>
      </c>
      <c r="B19" s="55" t="s">
        <v>219</v>
      </c>
      <c r="C19" s="59">
        <v>2923.13</v>
      </c>
      <c r="D19" s="59">
        <v>4201.21</v>
      </c>
      <c r="E19" s="59">
        <v>7124.34</v>
      </c>
      <c r="F19" s="55">
        <v>0</v>
      </c>
    </row>
    <row r="20" spans="1:6" x14ac:dyDescent="0.2">
      <c r="A20" s="55">
        <v>11102006</v>
      </c>
      <c r="B20" s="55" t="s">
        <v>220</v>
      </c>
      <c r="C20" s="55">
        <v>96.31</v>
      </c>
      <c r="D20" s="59">
        <v>579998.54</v>
      </c>
      <c r="E20" s="59">
        <v>580084.85</v>
      </c>
      <c r="F20" s="55">
        <v>10</v>
      </c>
    </row>
    <row r="22" spans="1:6" x14ac:dyDescent="0.2">
      <c r="A22" s="55">
        <v>11105</v>
      </c>
      <c r="B22" s="55" t="s">
        <v>94</v>
      </c>
      <c r="C22" s="59">
        <v>7620.92</v>
      </c>
      <c r="D22" s="59">
        <v>304652.02</v>
      </c>
      <c r="E22" s="59">
        <v>299915.17</v>
      </c>
      <c r="F22" s="59">
        <v>12357.77</v>
      </c>
    </row>
    <row r="23" spans="1:6" x14ac:dyDescent="0.2">
      <c r="A23" s="55">
        <v>11105001</v>
      </c>
      <c r="B23" s="55" t="s">
        <v>221</v>
      </c>
      <c r="C23" s="59">
        <v>1667.19</v>
      </c>
      <c r="D23" s="55">
        <v>0</v>
      </c>
      <c r="E23" s="55">
        <v>0</v>
      </c>
      <c r="F23" s="59">
        <v>1667.19</v>
      </c>
    </row>
    <row r="24" spans="1:6" x14ac:dyDescent="0.2">
      <c r="A24" s="55">
        <v>11105002</v>
      </c>
      <c r="B24" s="55" t="s">
        <v>222</v>
      </c>
      <c r="C24" s="59">
        <v>2046.61</v>
      </c>
      <c r="D24" s="55">
        <v>0</v>
      </c>
      <c r="E24" s="55">
        <v>0</v>
      </c>
      <c r="F24" s="59">
        <v>2046.61</v>
      </c>
    </row>
    <row r="25" spans="1:6" x14ac:dyDescent="0.2">
      <c r="A25" s="55">
        <v>11105003</v>
      </c>
      <c r="B25" s="55" t="s">
        <v>223</v>
      </c>
      <c r="C25" s="59">
        <v>3906.38</v>
      </c>
      <c r="D25" s="55">
        <v>56.77</v>
      </c>
      <c r="E25" s="59">
        <v>3963.15</v>
      </c>
      <c r="F25" s="55">
        <v>0</v>
      </c>
    </row>
    <row r="26" spans="1:6" x14ac:dyDescent="0.2">
      <c r="A26" s="55">
        <v>11105005</v>
      </c>
      <c r="B26" s="55" t="s">
        <v>224</v>
      </c>
      <c r="C26" s="55">
        <v>0</v>
      </c>
      <c r="D26" s="59">
        <v>68798.05</v>
      </c>
      <c r="E26" s="59">
        <v>65021.22</v>
      </c>
      <c r="F26" s="59">
        <v>3776.83</v>
      </c>
    </row>
    <row r="27" spans="1:6" x14ac:dyDescent="0.2">
      <c r="A27" s="55">
        <v>11105008</v>
      </c>
      <c r="B27" s="55" t="s">
        <v>225</v>
      </c>
      <c r="C27" s="55">
        <v>0</v>
      </c>
      <c r="D27" s="59">
        <v>201757.17</v>
      </c>
      <c r="E27" s="59">
        <v>198804.18</v>
      </c>
      <c r="F27" s="59">
        <v>2952.99</v>
      </c>
    </row>
    <row r="28" spans="1:6" x14ac:dyDescent="0.2">
      <c r="A28" s="55">
        <v>11105010</v>
      </c>
      <c r="B28" s="55" t="s">
        <v>226</v>
      </c>
      <c r="C28" s="55">
        <v>0.74</v>
      </c>
      <c r="D28" s="59">
        <v>4821.41</v>
      </c>
      <c r="E28" s="59">
        <v>4822.1499999999996</v>
      </c>
      <c r="F28" s="55">
        <v>0</v>
      </c>
    </row>
    <row r="29" spans="1:6" x14ac:dyDescent="0.2">
      <c r="A29" s="55">
        <v>11105012</v>
      </c>
      <c r="B29" s="55" t="s">
        <v>227</v>
      </c>
      <c r="C29" s="55">
        <v>0</v>
      </c>
      <c r="D29" s="59">
        <v>24183.3</v>
      </c>
      <c r="E29" s="59">
        <v>22269.15</v>
      </c>
      <c r="F29" s="59">
        <v>1914.15</v>
      </c>
    </row>
    <row r="30" spans="1:6" x14ac:dyDescent="0.2">
      <c r="A30" s="55">
        <v>11105013</v>
      </c>
      <c r="B30" s="55" t="s">
        <v>228</v>
      </c>
      <c r="C30" s="55">
        <v>0</v>
      </c>
      <c r="D30" s="59">
        <v>5035.32</v>
      </c>
      <c r="E30" s="59">
        <v>5035.32</v>
      </c>
      <c r="F30" s="55">
        <v>0</v>
      </c>
    </row>
    <row r="32" spans="1:6" x14ac:dyDescent="0.2">
      <c r="A32" s="55">
        <v>112</v>
      </c>
      <c r="B32" s="55" t="s">
        <v>95</v>
      </c>
      <c r="C32" s="55">
        <v>394.12</v>
      </c>
      <c r="D32" s="59">
        <v>65146.32</v>
      </c>
      <c r="E32" s="59">
        <v>62562.9</v>
      </c>
      <c r="F32" s="59">
        <v>2977.54</v>
      </c>
    </row>
    <row r="33" spans="1:6" x14ac:dyDescent="0.2">
      <c r="A33" s="55">
        <v>11203</v>
      </c>
      <c r="B33" s="55" t="s">
        <v>96</v>
      </c>
      <c r="C33" s="55">
        <v>0</v>
      </c>
      <c r="D33" s="59">
        <v>40000</v>
      </c>
      <c r="E33" s="59">
        <v>40000</v>
      </c>
      <c r="F33" s="55">
        <v>0</v>
      </c>
    </row>
    <row r="34" spans="1:6" x14ac:dyDescent="0.2">
      <c r="A34" s="55">
        <v>11203004</v>
      </c>
      <c r="B34" s="55" t="s">
        <v>97</v>
      </c>
      <c r="C34" s="55">
        <v>0</v>
      </c>
      <c r="D34" s="59">
        <v>40000</v>
      </c>
      <c r="E34" s="59">
        <v>40000</v>
      </c>
      <c r="F34" s="55">
        <v>0</v>
      </c>
    </row>
    <row r="36" spans="1:6" x14ac:dyDescent="0.2">
      <c r="A36" s="55">
        <v>11207</v>
      </c>
      <c r="B36" s="55" t="s">
        <v>229</v>
      </c>
      <c r="C36" s="55">
        <v>0</v>
      </c>
      <c r="D36" s="59">
        <v>17944.990000000002</v>
      </c>
      <c r="E36" s="59">
        <v>17944.990000000002</v>
      </c>
      <c r="F36" s="55">
        <v>0</v>
      </c>
    </row>
    <row r="37" spans="1:6" x14ac:dyDescent="0.2">
      <c r="A37" s="55">
        <v>11207001</v>
      </c>
      <c r="B37" s="55" t="s">
        <v>99</v>
      </c>
      <c r="C37" s="55">
        <v>0</v>
      </c>
      <c r="D37" s="59">
        <v>6571.73</v>
      </c>
      <c r="E37" s="59">
        <v>6571.73</v>
      </c>
      <c r="F37" s="55">
        <v>0</v>
      </c>
    </row>
    <row r="38" spans="1:6" x14ac:dyDescent="0.2">
      <c r="A38" s="55">
        <v>11207002</v>
      </c>
      <c r="B38" s="55" t="s">
        <v>100</v>
      </c>
      <c r="C38" s="55">
        <v>0</v>
      </c>
      <c r="D38" s="59">
        <v>11328.45</v>
      </c>
      <c r="E38" s="59">
        <v>11328.45</v>
      </c>
      <c r="F38" s="55">
        <v>0</v>
      </c>
    </row>
    <row r="39" spans="1:6" x14ac:dyDescent="0.2">
      <c r="A39" s="55">
        <v>11207005</v>
      </c>
      <c r="B39" s="55" t="s">
        <v>101</v>
      </c>
      <c r="C39" s="55">
        <v>0</v>
      </c>
      <c r="D39" s="55">
        <v>44.81</v>
      </c>
      <c r="E39" s="55">
        <v>44.81</v>
      </c>
      <c r="F39" s="55">
        <v>0</v>
      </c>
    </row>
    <row r="41" spans="1:6" x14ac:dyDescent="0.2">
      <c r="A41" s="55">
        <v>11213</v>
      </c>
      <c r="B41" s="55" t="s">
        <v>230</v>
      </c>
      <c r="C41" s="55">
        <v>394.12</v>
      </c>
      <c r="D41" s="59">
        <v>2701.33</v>
      </c>
      <c r="E41" s="59">
        <v>2517.91</v>
      </c>
      <c r="F41" s="55">
        <v>577.54</v>
      </c>
    </row>
    <row r="42" spans="1:6" x14ac:dyDescent="0.2">
      <c r="A42" s="55">
        <v>11213006</v>
      </c>
      <c r="B42" s="55" t="s">
        <v>231</v>
      </c>
      <c r="C42" s="55">
        <v>394.12</v>
      </c>
      <c r="D42" s="59">
        <v>2701.33</v>
      </c>
      <c r="E42" s="59">
        <v>2517.91</v>
      </c>
      <c r="F42" s="55">
        <v>577.54</v>
      </c>
    </row>
    <row r="44" spans="1:6" x14ac:dyDescent="0.2">
      <c r="A44" s="55">
        <v>11214</v>
      </c>
      <c r="B44" s="55" t="s">
        <v>232</v>
      </c>
      <c r="C44" s="55">
        <v>0</v>
      </c>
      <c r="D44" s="59">
        <v>4500</v>
      </c>
      <c r="E44" s="59">
        <v>2100</v>
      </c>
      <c r="F44" s="59">
        <v>2400</v>
      </c>
    </row>
    <row r="45" spans="1:6" x14ac:dyDescent="0.2">
      <c r="A45" s="55">
        <v>11214001</v>
      </c>
      <c r="B45" s="55" t="s">
        <v>233</v>
      </c>
      <c r="C45" s="55">
        <v>0</v>
      </c>
      <c r="D45" s="59">
        <v>4500</v>
      </c>
      <c r="E45" s="59">
        <v>2100</v>
      </c>
      <c r="F45" s="59">
        <v>2400</v>
      </c>
    </row>
    <row r="47" spans="1:6" x14ac:dyDescent="0.2">
      <c r="A47" s="55">
        <v>13</v>
      </c>
      <c r="B47" s="55" t="s">
        <v>234</v>
      </c>
      <c r="C47" s="59">
        <v>27165.72</v>
      </c>
      <c r="D47" s="59">
        <v>8660.7999999999993</v>
      </c>
      <c r="E47" s="59">
        <v>13333.26</v>
      </c>
      <c r="F47" s="59">
        <v>22493.26</v>
      </c>
    </row>
    <row r="49" spans="1:6" x14ac:dyDescent="0.2">
      <c r="A49" s="55">
        <v>132</v>
      </c>
      <c r="B49" s="55" t="s">
        <v>104</v>
      </c>
      <c r="C49" s="59">
        <v>27165.72</v>
      </c>
      <c r="D49" s="59">
        <v>8660.7999999999993</v>
      </c>
      <c r="E49" s="59">
        <v>13333.26</v>
      </c>
      <c r="F49" s="59">
        <v>22493.26</v>
      </c>
    </row>
    <row r="51" spans="1:6" x14ac:dyDescent="0.2">
      <c r="A51" s="55">
        <v>13201</v>
      </c>
      <c r="B51" s="55" t="s">
        <v>235</v>
      </c>
      <c r="C51" s="59">
        <v>41367.61</v>
      </c>
      <c r="D51" s="59">
        <v>2285.8000000000002</v>
      </c>
      <c r="E51" s="59">
        <v>7500</v>
      </c>
      <c r="F51" s="59">
        <v>36153.410000000003</v>
      </c>
    </row>
    <row r="52" spans="1:6" x14ac:dyDescent="0.2">
      <c r="A52" s="55">
        <v>13201004</v>
      </c>
      <c r="B52" s="55" t="s">
        <v>105</v>
      </c>
      <c r="C52" s="59">
        <v>3395.6</v>
      </c>
      <c r="D52" s="55">
        <v>0</v>
      </c>
      <c r="E52" s="55">
        <v>0</v>
      </c>
      <c r="F52" s="59">
        <v>3395.6</v>
      </c>
    </row>
    <row r="53" spans="1:6" x14ac:dyDescent="0.2">
      <c r="A53" s="55">
        <v>13201006</v>
      </c>
      <c r="B53" s="55" t="s">
        <v>106</v>
      </c>
      <c r="C53" s="59">
        <v>1260</v>
      </c>
      <c r="D53" s="55">
        <v>0</v>
      </c>
      <c r="E53" s="55">
        <v>0</v>
      </c>
      <c r="F53" s="59">
        <v>1260</v>
      </c>
    </row>
    <row r="54" spans="1:6" x14ac:dyDescent="0.2">
      <c r="A54" s="55">
        <v>13201008</v>
      </c>
      <c r="B54" s="55" t="s">
        <v>107</v>
      </c>
      <c r="C54" s="55">
        <v>379.99</v>
      </c>
      <c r="D54" s="55">
        <v>989</v>
      </c>
      <c r="E54" s="55">
        <v>0</v>
      </c>
      <c r="F54" s="59">
        <v>1368.99</v>
      </c>
    </row>
    <row r="55" spans="1:6" x14ac:dyDescent="0.2">
      <c r="A55" s="55">
        <v>13201010</v>
      </c>
      <c r="B55" s="55" t="s">
        <v>108</v>
      </c>
      <c r="C55" s="59">
        <v>14832.02</v>
      </c>
      <c r="D55" s="59">
        <v>1296.8</v>
      </c>
      <c r="E55" s="55">
        <v>0</v>
      </c>
      <c r="F55" s="59">
        <v>16128.82</v>
      </c>
    </row>
    <row r="56" spans="1:6" x14ac:dyDescent="0.2">
      <c r="A56" s="55">
        <v>13201012</v>
      </c>
      <c r="B56" s="55" t="s">
        <v>109</v>
      </c>
      <c r="C56" s="59">
        <v>21500</v>
      </c>
      <c r="D56" s="55">
        <v>0</v>
      </c>
      <c r="E56" s="59">
        <v>7500</v>
      </c>
      <c r="F56" s="59">
        <v>14000</v>
      </c>
    </row>
    <row r="58" spans="1:6" x14ac:dyDescent="0.2">
      <c r="A58" s="55">
        <v>13202</v>
      </c>
      <c r="B58" s="55" t="s">
        <v>236</v>
      </c>
      <c r="C58" s="59">
        <v>-14201.89</v>
      </c>
      <c r="D58" s="59">
        <v>6375</v>
      </c>
      <c r="E58" s="59">
        <v>5833.26</v>
      </c>
      <c r="F58" s="59">
        <v>-13660.15</v>
      </c>
    </row>
    <row r="59" spans="1:6" x14ac:dyDescent="0.2">
      <c r="A59" s="55">
        <v>13202002</v>
      </c>
      <c r="B59" s="55" t="s">
        <v>105</v>
      </c>
      <c r="C59" s="55">
        <v>-966.39</v>
      </c>
      <c r="D59" s="55">
        <v>0</v>
      </c>
      <c r="E59" s="55">
        <v>679.08</v>
      </c>
      <c r="F59" s="59">
        <v>-1645.47</v>
      </c>
    </row>
    <row r="60" spans="1:6" x14ac:dyDescent="0.2">
      <c r="A60" s="55">
        <v>13202004</v>
      </c>
      <c r="B60" s="55" t="s">
        <v>106</v>
      </c>
      <c r="C60" s="55">
        <v>-94.5</v>
      </c>
      <c r="D60" s="55">
        <v>0</v>
      </c>
      <c r="E60" s="55">
        <v>126</v>
      </c>
      <c r="F60" s="55">
        <v>-220.5</v>
      </c>
    </row>
    <row r="61" spans="1:6" x14ac:dyDescent="0.2">
      <c r="A61" s="55">
        <v>13202006</v>
      </c>
      <c r="B61" s="55" t="s">
        <v>107</v>
      </c>
      <c r="C61" s="55">
        <v>-129.83000000000001</v>
      </c>
      <c r="D61" s="55">
        <v>0</v>
      </c>
      <c r="E61" s="55">
        <v>136.91999999999999</v>
      </c>
      <c r="F61" s="55">
        <v>-266.75</v>
      </c>
    </row>
    <row r="62" spans="1:6" x14ac:dyDescent="0.2">
      <c r="A62" s="55">
        <v>13202007</v>
      </c>
      <c r="B62" s="55" t="s">
        <v>108</v>
      </c>
      <c r="C62" s="59">
        <v>-1536.17</v>
      </c>
      <c r="D62" s="55">
        <v>0</v>
      </c>
      <c r="E62" s="59">
        <v>1591.3</v>
      </c>
      <c r="F62" s="59">
        <v>-3127.47</v>
      </c>
    </row>
    <row r="63" spans="1:6" x14ac:dyDescent="0.2">
      <c r="A63" s="55">
        <v>13202009</v>
      </c>
      <c r="B63" s="55" t="s">
        <v>109</v>
      </c>
      <c r="C63" s="59">
        <v>-11475</v>
      </c>
      <c r="D63" s="59">
        <v>6375</v>
      </c>
      <c r="E63" s="59">
        <v>3299.96</v>
      </c>
      <c r="F63" s="59">
        <v>-8399.9599999999991</v>
      </c>
    </row>
    <row r="65" spans="1:6" x14ac:dyDescent="0.2">
      <c r="A65" s="55">
        <v>2</v>
      </c>
      <c r="B65" s="55" t="s">
        <v>237</v>
      </c>
      <c r="C65" s="59">
        <v>-40024.83</v>
      </c>
      <c r="D65" s="59">
        <v>672725.06</v>
      </c>
      <c r="E65" s="59">
        <v>670946.29</v>
      </c>
      <c r="F65" s="59">
        <v>-38246.06</v>
      </c>
    </row>
    <row r="67" spans="1:6" x14ac:dyDescent="0.2">
      <c r="A67" s="55">
        <v>21</v>
      </c>
      <c r="B67" s="55" t="s">
        <v>90</v>
      </c>
      <c r="C67" s="59">
        <v>-46272.67</v>
      </c>
      <c r="D67" s="59">
        <v>669323.07999999996</v>
      </c>
      <c r="E67" s="59">
        <v>667544.31000000006</v>
      </c>
      <c r="F67" s="59">
        <v>-44493.9</v>
      </c>
    </row>
    <row r="69" spans="1:6" x14ac:dyDescent="0.2">
      <c r="A69" s="55">
        <v>211</v>
      </c>
      <c r="B69" s="55" t="s">
        <v>238</v>
      </c>
      <c r="C69" s="59">
        <v>-4142.6499999999996</v>
      </c>
      <c r="D69" s="59">
        <v>4672.0600000000004</v>
      </c>
      <c r="E69" s="55">
        <v>837.26</v>
      </c>
      <c r="F69" s="55">
        <v>-307.85000000000002</v>
      </c>
    </row>
    <row r="71" spans="1:6" x14ac:dyDescent="0.2">
      <c r="A71" s="55">
        <v>21102</v>
      </c>
      <c r="B71" s="55" t="s">
        <v>239</v>
      </c>
      <c r="C71" s="59">
        <v>-4142.6499999999996</v>
      </c>
      <c r="D71" s="59">
        <v>4672.0600000000004</v>
      </c>
      <c r="E71" s="55">
        <v>837.26</v>
      </c>
      <c r="F71" s="55">
        <v>-307.85000000000002</v>
      </c>
    </row>
    <row r="72" spans="1:6" x14ac:dyDescent="0.2">
      <c r="A72" s="55">
        <v>21102001</v>
      </c>
      <c r="B72" s="55" t="s">
        <v>240</v>
      </c>
      <c r="C72" s="59">
        <v>-4142.6499999999996</v>
      </c>
      <c r="D72" s="59">
        <v>4142.6499999999996</v>
      </c>
      <c r="E72" s="55">
        <v>0</v>
      </c>
      <c r="F72" s="55">
        <v>0</v>
      </c>
    </row>
    <row r="73" spans="1:6" x14ac:dyDescent="0.2">
      <c r="A73" s="55">
        <v>21102003</v>
      </c>
      <c r="B73" s="55" t="s">
        <v>110</v>
      </c>
      <c r="C73" s="55">
        <v>0</v>
      </c>
      <c r="D73" s="55">
        <v>529.41</v>
      </c>
      <c r="E73" s="55">
        <v>529.41</v>
      </c>
      <c r="F73" s="55">
        <v>0</v>
      </c>
    </row>
    <row r="74" spans="1:6" x14ac:dyDescent="0.2">
      <c r="A74" s="55">
        <v>21102004</v>
      </c>
      <c r="B74" s="55" t="s">
        <v>219</v>
      </c>
      <c r="C74" s="55">
        <v>0</v>
      </c>
      <c r="D74" s="55">
        <v>0</v>
      </c>
      <c r="E74" s="55">
        <v>307.85000000000002</v>
      </c>
      <c r="F74" s="55">
        <v>-307.85000000000002</v>
      </c>
    </row>
    <row r="76" spans="1:6" x14ac:dyDescent="0.2">
      <c r="A76" s="55">
        <v>212</v>
      </c>
      <c r="B76" s="55" t="s">
        <v>241</v>
      </c>
      <c r="C76" s="55">
        <v>0</v>
      </c>
      <c r="D76" s="59">
        <v>1089</v>
      </c>
      <c r="E76" s="59">
        <v>1089</v>
      </c>
      <c r="F76" s="55">
        <v>0</v>
      </c>
    </row>
    <row r="78" spans="1:6" x14ac:dyDescent="0.2">
      <c r="A78" s="55">
        <v>21201</v>
      </c>
      <c r="B78" s="55" t="s">
        <v>111</v>
      </c>
      <c r="C78" s="55">
        <v>0</v>
      </c>
      <c r="D78" s="59">
        <v>1089</v>
      </c>
      <c r="E78" s="59">
        <v>1089</v>
      </c>
      <c r="F78" s="55">
        <v>0</v>
      </c>
    </row>
    <row r="79" spans="1:6" x14ac:dyDescent="0.2">
      <c r="A79" s="55">
        <v>21201055</v>
      </c>
      <c r="B79" s="55" t="s">
        <v>242</v>
      </c>
      <c r="C79" s="55">
        <v>0</v>
      </c>
      <c r="D79" s="59">
        <v>1089</v>
      </c>
      <c r="E79" s="59">
        <v>1089</v>
      </c>
      <c r="F79" s="55">
        <v>0</v>
      </c>
    </row>
    <row r="81" spans="1:6" x14ac:dyDescent="0.2">
      <c r="A81" s="55">
        <v>213</v>
      </c>
      <c r="B81" s="55" t="s">
        <v>243</v>
      </c>
      <c r="C81" s="59">
        <v>-6719.79</v>
      </c>
      <c r="D81" s="59">
        <v>99787.56</v>
      </c>
      <c r="E81" s="59">
        <v>99234.16</v>
      </c>
      <c r="F81" s="59">
        <v>-6166.39</v>
      </c>
    </row>
    <row r="83" spans="1:6" x14ac:dyDescent="0.2">
      <c r="A83" s="55">
        <v>21301</v>
      </c>
      <c r="B83" s="55" t="s">
        <v>244</v>
      </c>
      <c r="C83" s="59">
        <v>-6719.79</v>
      </c>
      <c r="D83" s="59">
        <v>99787.56</v>
      </c>
      <c r="E83" s="59">
        <v>99234.16</v>
      </c>
      <c r="F83" s="59">
        <v>-6166.39</v>
      </c>
    </row>
    <row r="84" spans="1:6" x14ac:dyDescent="0.2">
      <c r="A84" s="55">
        <v>21301002</v>
      </c>
      <c r="B84" s="55" t="s">
        <v>113</v>
      </c>
      <c r="C84" s="59">
        <v>-1566.17</v>
      </c>
      <c r="D84" s="59">
        <v>20550.07</v>
      </c>
      <c r="E84" s="59">
        <v>18983.900000000001</v>
      </c>
      <c r="F84" s="55">
        <v>0</v>
      </c>
    </row>
    <row r="85" spans="1:6" x14ac:dyDescent="0.2">
      <c r="A85" s="55">
        <v>21301004</v>
      </c>
      <c r="B85" s="55" t="s">
        <v>245</v>
      </c>
      <c r="C85" s="59">
        <v>-5153.62</v>
      </c>
      <c r="D85" s="59">
        <v>77375.19</v>
      </c>
      <c r="E85" s="59">
        <v>78387.960000000006</v>
      </c>
      <c r="F85" s="59">
        <v>-6166.39</v>
      </c>
    </row>
    <row r="86" spans="1:6" x14ac:dyDescent="0.2">
      <c r="A86" s="55">
        <v>21301005</v>
      </c>
      <c r="B86" s="55" t="s">
        <v>103</v>
      </c>
      <c r="C86" s="55">
        <v>0</v>
      </c>
      <c r="D86" s="55">
        <v>589.27</v>
      </c>
      <c r="E86" s="55">
        <v>589.27</v>
      </c>
      <c r="F86" s="55">
        <v>0</v>
      </c>
    </row>
    <row r="87" spans="1:6" x14ac:dyDescent="0.2">
      <c r="A87" s="55">
        <v>21301006</v>
      </c>
      <c r="B87" s="55" t="s">
        <v>246</v>
      </c>
      <c r="C87" s="55">
        <v>0</v>
      </c>
      <c r="D87" s="59">
        <v>1273.03</v>
      </c>
      <c r="E87" s="59">
        <v>1273.03</v>
      </c>
      <c r="F87" s="55">
        <v>0</v>
      </c>
    </row>
    <row r="89" spans="1:6" x14ac:dyDescent="0.2">
      <c r="A89" s="55">
        <v>214</v>
      </c>
      <c r="B89" s="55" t="s">
        <v>247</v>
      </c>
      <c r="C89" s="55">
        <v>-417.61</v>
      </c>
      <c r="D89" s="59">
        <v>3203.93</v>
      </c>
      <c r="E89" s="59">
        <v>3018.94</v>
      </c>
      <c r="F89" s="55">
        <v>-232.62</v>
      </c>
    </row>
    <row r="91" spans="1:6" x14ac:dyDescent="0.2">
      <c r="A91" s="55">
        <v>21401</v>
      </c>
      <c r="B91" s="55" t="s">
        <v>248</v>
      </c>
      <c r="C91" s="55">
        <v>-417.61</v>
      </c>
      <c r="D91" s="59">
        <v>3203.93</v>
      </c>
      <c r="E91" s="59">
        <v>3018.94</v>
      </c>
      <c r="F91" s="55">
        <v>-232.62</v>
      </c>
    </row>
    <row r="92" spans="1:6" x14ac:dyDescent="0.2">
      <c r="A92" s="55">
        <v>21401005</v>
      </c>
      <c r="B92" s="55" t="s">
        <v>249</v>
      </c>
      <c r="C92" s="55">
        <v>-168.6</v>
      </c>
      <c r="D92" s="59">
        <v>1006.97</v>
      </c>
      <c r="E92" s="55">
        <v>894.4</v>
      </c>
      <c r="F92" s="55">
        <v>-56.03</v>
      </c>
    </row>
    <row r="93" spans="1:6" x14ac:dyDescent="0.2">
      <c r="A93" s="55">
        <v>21401012</v>
      </c>
      <c r="B93" s="55" t="s">
        <v>250</v>
      </c>
      <c r="C93" s="55">
        <v>-249.01</v>
      </c>
      <c r="D93" s="59">
        <v>2196.96</v>
      </c>
      <c r="E93" s="59">
        <v>2124.54</v>
      </c>
      <c r="F93" s="55">
        <v>-176.59</v>
      </c>
    </row>
    <row r="95" spans="1:6" x14ac:dyDescent="0.2">
      <c r="A95" s="55">
        <v>215</v>
      </c>
      <c r="B95" s="55" t="s">
        <v>114</v>
      </c>
      <c r="C95" s="59">
        <v>-34992.620000000003</v>
      </c>
      <c r="D95" s="59">
        <v>282738.63</v>
      </c>
      <c r="E95" s="59">
        <v>280547.3</v>
      </c>
      <c r="F95" s="59">
        <v>-32801.29</v>
      </c>
    </row>
    <row r="97" spans="1:6" x14ac:dyDescent="0.2">
      <c r="A97" s="55">
        <v>21501</v>
      </c>
      <c r="B97" s="55" t="s">
        <v>251</v>
      </c>
      <c r="C97" s="59">
        <v>-34992.620000000003</v>
      </c>
      <c r="D97" s="59">
        <v>275538.63</v>
      </c>
      <c r="E97" s="59">
        <v>273347.3</v>
      </c>
      <c r="F97" s="59">
        <v>-32801.29</v>
      </c>
    </row>
    <row r="98" spans="1:6" x14ac:dyDescent="0.2">
      <c r="A98" s="55">
        <v>21501002</v>
      </c>
      <c r="B98" s="55" t="s">
        <v>252</v>
      </c>
      <c r="C98" s="59">
        <v>-2081</v>
      </c>
      <c r="D98" s="59">
        <v>15454.29</v>
      </c>
      <c r="E98" s="59">
        <v>13373.29</v>
      </c>
      <c r="F98" s="55">
        <v>0</v>
      </c>
    </row>
    <row r="99" spans="1:6" x14ac:dyDescent="0.2">
      <c r="A99" s="55">
        <v>21501005</v>
      </c>
      <c r="B99" s="55" t="s">
        <v>115</v>
      </c>
      <c r="C99" s="55">
        <v>0</v>
      </c>
      <c r="D99" s="59">
        <v>12154.93</v>
      </c>
      <c r="E99" s="59">
        <v>12154.93</v>
      </c>
      <c r="F99" s="55">
        <v>0</v>
      </c>
    </row>
    <row r="100" spans="1:6" x14ac:dyDescent="0.2">
      <c r="A100" s="55">
        <v>21501006</v>
      </c>
      <c r="B100" s="55" t="s">
        <v>116</v>
      </c>
      <c r="C100" s="59">
        <v>-12168</v>
      </c>
      <c r="D100" s="59">
        <v>222616.85</v>
      </c>
      <c r="E100" s="59">
        <v>210448.85</v>
      </c>
      <c r="F100" s="55">
        <v>0</v>
      </c>
    </row>
    <row r="101" spans="1:6" x14ac:dyDescent="0.2">
      <c r="A101" s="55">
        <v>21501007</v>
      </c>
      <c r="B101" s="55" t="s">
        <v>253</v>
      </c>
      <c r="C101" s="55">
        <v>0</v>
      </c>
      <c r="D101" s="59">
        <v>15296.84</v>
      </c>
      <c r="E101" s="59">
        <v>15296.84</v>
      </c>
      <c r="F101" s="55">
        <v>0</v>
      </c>
    </row>
    <row r="102" spans="1:6" x14ac:dyDescent="0.2">
      <c r="A102" s="55">
        <v>21501008</v>
      </c>
      <c r="B102" s="55" t="s">
        <v>254</v>
      </c>
      <c r="C102" s="59">
        <v>-19543.62</v>
      </c>
      <c r="D102" s="59">
        <v>8815.7199999999993</v>
      </c>
      <c r="E102" s="59">
        <v>22073.39</v>
      </c>
      <c r="F102" s="59">
        <v>-32801.29</v>
      </c>
    </row>
    <row r="103" spans="1:6" x14ac:dyDescent="0.2">
      <c r="A103" s="55">
        <v>21501009</v>
      </c>
      <c r="B103" s="55" t="s">
        <v>255</v>
      </c>
      <c r="C103" s="59">
        <v>-1200</v>
      </c>
      <c r="D103" s="59">
        <v>1200</v>
      </c>
      <c r="E103" s="55">
        <v>0</v>
      </c>
      <c r="F103" s="55">
        <v>0</v>
      </c>
    </row>
    <row r="105" spans="1:6" x14ac:dyDescent="0.2">
      <c r="A105" s="55">
        <v>21502</v>
      </c>
      <c r="B105" s="55" t="s">
        <v>256</v>
      </c>
      <c r="C105" s="55">
        <v>0</v>
      </c>
      <c r="D105" s="59">
        <v>7200</v>
      </c>
      <c r="E105" s="59">
        <v>7200</v>
      </c>
      <c r="F105" s="55">
        <v>0</v>
      </c>
    </row>
    <row r="106" spans="1:6" x14ac:dyDescent="0.2">
      <c r="A106" s="55">
        <v>21502001</v>
      </c>
      <c r="B106" s="55" t="s">
        <v>257</v>
      </c>
      <c r="C106" s="55">
        <v>0</v>
      </c>
      <c r="D106" s="59">
        <v>7200</v>
      </c>
      <c r="E106" s="59">
        <v>7200</v>
      </c>
      <c r="F106" s="55">
        <v>0</v>
      </c>
    </row>
    <row r="108" spans="1:6" x14ac:dyDescent="0.2">
      <c r="A108" s="55">
        <v>216</v>
      </c>
      <c r="B108" s="55" t="s">
        <v>258</v>
      </c>
      <c r="C108" s="55">
        <v>0</v>
      </c>
      <c r="D108" s="59">
        <v>275193.81</v>
      </c>
      <c r="E108" s="59">
        <v>280116.32</v>
      </c>
      <c r="F108" s="59">
        <v>-4922.51</v>
      </c>
    </row>
    <row r="110" spans="1:6" x14ac:dyDescent="0.2">
      <c r="A110" s="55">
        <v>21601</v>
      </c>
      <c r="B110" s="55" t="s">
        <v>259</v>
      </c>
      <c r="C110" s="55">
        <v>0</v>
      </c>
      <c r="D110" s="55">
        <v>4.7</v>
      </c>
      <c r="E110" s="59">
        <v>280116.32</v>
      </c>
      <c r="F110" s="59">
        <v>-280111.62</v>
      </c>
    </row>
    <row r="111" spans="1:6" x14ac:dyDescent="0.2">
      <c r="A111" s="55">
        <v>21601001</v>
      </c>
      <c r="B111" s="55" t="s">
        <v>97</v>
      </c>
      <c r="C111" s="55">
        <v>0</v>
      </c>
      <c r="D111" s="55">
        <v>4.7</v>
      </c>
      <c r="E111" s="59">
        <v>280116.32</v>
      </c>
      <c r="F111" s="59">
        <v>-280111.62</v>
      </c>
    </row>
    <row r="113" spans="1:6" x14ac:dyDescent="0.2">
      <c r="A113" s="55">
        <v>21602</v>
      </c>
      <c r="B113" s="55" t="s">
        <v>260</v>
      </c>
      <c r="C113" s="55">
        <v>0</v>
      </c>
      <c r="D113" s="59">
        <v>275189.11</v>
      </c>
      <c r="E113" s="55">
        <v>0</v>
      </c>
      <c r="F113" s="59">
        <v>275189.11</v>
      </c>
    </row>
    <row r="114" spans="1:6" x14ac:dyDescent="0.2">
      <c r="A114" s="55">
        <v>21602001</v>
      </c>
      <c r="B114" s="55" t="s">
        <v>261</v>
      </c>
      <c r="C114" s="55">
        <v>0</v>
      </c>
      <c r="D114" s="59">
        <v>275189.11</v>
      </c>
      <c r="E114" s="55">
        <v>0</v>
      </c>
      <c r="F114" s="59">
        <v>275189.11</v>
      </c>
    </row>
    <row r="116" spans="1:6" x14ac:dyDescent="0.2">
      <c r="A116" s="55">
        <v>218</v>
      </c>
      <c r="B116" s="55" t="s">
        <v>262</v>
      </c>
      <c r="C116" s="55">
        <v>0</v>
      </c>
      <c r="D116" s="59">
        <v>2638.09</v>
      </c>
      <c r="E116" s="59">
        <v>2701.33</v>
      </c>
      <c r="F116" s="55">
        <v>-63.24</v>
      </c>
    </row>
    <row r="117" spans="1:6" x14ac:dyDescent="0.2">
      <c r="A117" s="55">
        <v>21802</v>
      </c>
      <c r="B117" s="55" t="s">
        <v>112</v>
      </c>
      <c r="C117" s="55">
        <v>0</v>
      </c>
      <c r="D117" s="59">
        <v>2638.09</v>
      </c>
      <c r="E117" s="59">
        <v>2701.33</v>
      </c>
      <c r="F117" s="55">
        <v>-63.24</v>
      </c>
    </row>
    <row r="118" spans="1:6" x14ac:dyDescent="0.2">
      <c r="A118" s="55">
        <v>21802001</v>
      </c>
      <c r="B118" s="55" t="s">
        <v>112</v>
      </c>
      <c r="C118" s="55">
        <v>0</v>
      </c>
      <c r="D118" s="59">
        <v>2638.09</v>
      </c>
      <c r="E118" s="59">
        <v>2701.33</v>
      </c>
      <c r="F118" s="55">
        <v>-63.24</v>
      </c>
    </row>
    <row r="120" spans="1:6" x14ac:dyDescent="0.2">
      <c r="A120" s="55">
        <v>23</v>
      </c>
      <c r="B120" s="55" t="s">
        <v>263</v>
      </c>
      <c r="C120" s="59">
        <v>6247.84</v>
      </c>
      <c r="D120" s="59">
        <v>3401.98</v>
      </c>
      <c r="E120" s="59">
        <v>3401.98</v>
      </c>
      <c r="F120" s="59">
        <v>6247.84</v>
      </c>
    </row>
    <row r="122" spans="1:6" x14ac:dyDescent="0.2">
      <c r="A122" s="55">
        <v>232</v>
      </c>
      <c r="B122" s="55" t="s">
        <v>264</v>
      </c>
      <c r="C122" s="59">
        <v>6247.84</v>
      </c>
      <c r="D122" s="59">
        <v>3401.98</v>
      </c>
      <c r="E122" s="59">
        <v>3401.98</v>
      </c>
      <c r="F122" s="59">
        <v>6247.84</v>
      </c>
    </row>
    <row r="124" spans="1:6" x14ac:dyDescent="0.2">
      <c r="A124" s="55">
        <v>23201</v>
      </c>
      <c r="B124" s="55" t="s">
        <v>119</v>
      </c>
      <c r="C124" s="59">
        <v>-33726.339999999997</v>
      </c>
      <c r="D124" s="59">
        <v>3401.98</v>
      </c>
      <c r="E124" s="59">
        <v>3401.98</v>
      </c>
      <c r="F124" s="59">
        <v>-33726.339999999997</v>
      </c>
    </row>
    <row r="125" spans="1:6" x14ac:dyDescent="0.2">
      <c r="A125" s="55">
        <v>23201001</v>
      </c>
      <c r="B125" s="55" t="s">
        <v>265</v>
      </c>
      <c r="C125" s="59">
        <v>-33726.339999999997</v>
      </c>
      <c r="D125" s="55">
        <v>0</v>
      </c>
      <c r="E125" s="59">
        <v>3401.98</v>
      </c>
      <c r="F125" s="59">
        <v>-37128.32</v>
      </c>
    </row>
    <row r="126" spans="1:6" x14ac:dyDescent="0.2">
      <c r="A126" s="55">
        <v>23201002</v>
      </c>
      <c r="B126" s="55" t="s">
        <v>266</v>
      </c>
      <c r="C126" s="55">
        <v>0</v>
      </c>
      <c r="D126" s="59">
        <v>3401.98</v>
      </c>
      <c r="E126" s="55">
        <v>0</v>
      </c>
      <c r="F126" s="59">
        <v>3401.98</v>
      </c>
    </row>
    <row r="128" spans="1:6" x14ac:dyDescent="0.2">
      <c r="A128" s="55">
        <v>23202</v>
      </c>
      <c r="B128" s="55" t="s">
        <v>120</v>
      </c>
      <c r="C128" s="59">
        <v>39974.18</v>
      </c>
      <c r="D128" s="55">
        <v>0</v>
      </c>
      <c r="E128" s="55">
        <v>0</v>
      </c>
      <c r="F128" s="59">
        <v>39974.18</v>
      </c>
    </row>
    <row r="129" spans="1:6" x14ac:dyDescent="0.2">
      <c r="A129" s="55">
        <v>23202002</v>
      </c>
      <c r="B129" s="55" t="s">
        <v>266</v>
      </c>
      <c r="C129" s="59">
        <v>39974.18</v>
      </c>
      <c r="D129" s="55">
        <v>0</v>
      </c>
      <c r="E129" s="55">
        <v>0</v>
      </c>
      <c r="F129" s="59">
        <v>39974.18</v>
      </c>
    </row>
    <row r="131" spans="1:6" x14ac:dyDescent="0.2">
      <c r="A131" s="55">
        <v>3</v>
      </c>
      <c r="B131" s="55" t="s">
        <v>121</v>
      </c>
      <c r="C131" s="55">
        <v>0</v>
      </c>
      <c r="D131" s="55">
        <v>90.02</v>
      </c>
      <c r="E131" s="59">
        <v>553861.37</v>
      </c>
      <c r="F131" s="59">
        <v>-553771.35</v>
      </c>
    </row>
    <row r="133" spans="1:6" x14ac:dyDescent="0.2">
      <c r="A133" s="55">
        <v>31</v>
      </c>
      <c r="B133" s="55" t="s">
        <v>267</v>
      </c>
      <c r="C133" s="55">
        <v>0</v>
      </c>
      <c r="D133" s="55">
        <v>0</v>
      </c>
      <c r="E133" s="59">
        <v>549166.36</v>
      </c>
      <c r="F133" s="59">
        <v>-549166.36</v>
      </c>
    </row>
    <row r="135" spans="1:6" x14ac:dyDescent="0.2">
      <c r="A135" s="55">
        <v>311</v>
      </c>
      <c r="B135" s="55" t="s">
        <v>268</v>
      </c>
      <c r="C135" s="55">
        <v>0</v>
      </c>
      <c r="D135" s="55">
        <v>0</v>
      </c>
      <c r="E135" s="59">
        <v>549166.36</v>
      </c>
      <c r="F135" s="59">
        <v>-549166.36</v>
      </c>
    </row>
    <row r="137" spans="1:6" x14ac:dyDescent="0.2">
      <c r="A137" s="55">
        <v>31101</v>
      </c>
      <c r="B137" s="55" t="s">
        <v>122</v>
      </c>
      <c r="C137" s="55">
        <v>0</v>
      </c>
      <c r="D137" s="55">
        <v>0</v>
      </c>
      <c r="E137" s="59">
        <v>154906.85</v>
      </c>
      <c r="F137" s="59">
        <v>-154906.85</v>
      </c>
    </row>
    <row r="138" spans="1:6" x14ac:dyDescent="0.2">
      <c r="A138" s="55">
        <v>31101003</v>
      </c>
      <c r="B138" s="55" t="s">
        <v>269</v>
      </c>
      <c r="C138" s="55">
        <v>0</v>
      </c>
      <c r="D138" s="55">
        <v>0</v>
      </c>
      <c r="E138" s="59">
        <v>86945.72</v>
      </c>
      <c r="F138" s="59">
        <v>-86945.72</v>
      </c>
    </row>
    <row r="139" spans="1:6" x14ac:dyDescent="0.2">
      <c r="A139" s="55">
        <v>31101004</v>
      </c>
      <c r="B139" s="55" t="s">
        <v>270</v>
      </c>
      <c r="C139" s="55">
        <v>0</v>
      </c>
      <c r="D139" s="55">
        <v>0</v>
      </c>
      <c r="E139" s="59">
        <v>67961.13</v>
      </c>
      <c r="F139" s="59">
        <v>-67961.13</v>
      </c>
    </row>
    <row r="141" spans="1:6" x14ac:dyDescent="0.2">
      <c r="A141" s="55">
        <v>31102</v>
      </c>
      <c r="B141" s="55" t="s">
        <v>123</v>
      </c>
      <c r="C141" s="55">
        <v>0</v>
      </c>
      <c r="D141" s="55">
        <v>0</v>
      </c>
      <c r="E141" s="59">
        <v>305412.11</v>
      </c>
      <c r="F141" s="59">
        <v>-305412.11</v>
      </c>
    </row>
    <row r="142" spans="1:6" x14ac:dyDescent="0.2">
      <c r="A142" s="55">
        <v>31102011</v>
      </c>
      <c r="B142" s="55" t="s">
        <v>271</v>
      </c>
      <c r="C142" s="55">
        <v>0</v>
      </c>
      <c r="D142" s="55">
        <v>0</v>
      </c>
      <c r="E142" s="59">
        <v>299952.11</v>
      </c>
      <c r="F142" s="59">
        <v>-299952.11</v>
      </c>
    </row>
    <row r="143" spans="1:6" x14ac:dyDescent="0.2">
      <c r="A143" s="55">
        <v>31102013</v>
      </c>
      <c r="B143" s="55" t="s">
        <v>272</v>
      </c>
      <c r="C143" s="55">
        <v>0</v>
      </c>
      <c r="D143" s="55">
        <v>0</v>
      </c>
      <c r="E143" s="59">
        <v>5460</v>
      </c>
      <c r="F143" s="59">
        <v>-5460</v>
      </c>
    </row>
    <row r="145" spans="1:6" x14ac:dyDescent="0.2">
      <c r="A145" s="55">
        <v>31106</v>
      </c>
      <c r="B145" s="55" t="s">
        <v>124</v>
      </c>
      <c r="C145" s="55">
        <v>0</v>
      </c>
      <c r="D145" s="55">
        <v>0</v>
      </c>
      <c r="E145" s="59">
        <v>34641.94</v>
      </c>
      <c r="F145" s="59">
        <v>-34641.94</v>
      </c>
    </row>
    <row r="146" spans="1:6" x14ac:dyDescent="0.2">
      <c r="A146" s="55">
        <v>31106003</v>
      </c>
      <c r="B146" s="55" t="s">
        <v>98</v>
      </c>
      <c r="C146" s="55">
        <v>0</v>
      </c>
      <c r="D146" s="55">
        <v>0</v>
      </c>
      <c r="E146" s="59">
        <v>13757.45</v>
      </c>
      <c r="F146" s="59">
        <v>-13757.45</v>
      </c>
    </row>
    <row r="147" spans="1:6" x14ac:dyDescent="0.2">
      <c r="A147" s="55">
        <v>31106008</v>
      </c>
      <c r="B147" s="55" t="s">
        <v>273</v>
      </c>
      <c r="C147" s="55">
        <v>0</v>
      </c>
      <c r="D147" s="55">
        <v>0</v>
      </c>
      <c r="E147" s="59">
        <v>9959.0400000000009</v>
      </c>
      <c r="F147" s="59">
        <v>-9959.0400000000009</v>
      </c>
    </row>
    <row r="148" spans="1:6" x14ac:dyDescent="0.2">
      <c r="A148" s="55">
        <v>31106011</v>
      </c>
      <c r="B148" s="55" t="s">
        <v>274</v>
      </c>
      <c r="C148" s="55">
        <v>0</v>
      </c>
      <c r="D148" s="55">
        <v>0</v>
      </c>
      <c r="E148" s="59">
        <v>10925.45</v>
      </c>
      <c r="F148" s="59">
        <v>-10925.45</v>
      </c>
    </row>
    <row r="150" spans="1:6" x14ac:dyDescent="0.2">
      <c r="A150" s="55">
        <v>31115</v>
      </c>
      <c r="B150" s="55" t="s">
        <v>127</v>
      </c>
      <c r="C150" s="55">
        <v>0</v>
      </c>
      <c r="D150" s="55">
        <v>0</v>
      </c>
      <c r="E150" s="59">
        <v>54205.46</v>
      </c>
      <c r="F150" s="59">
        <v>-54205.46</v>
      </c>
    </row>
    <row r="151" spans="1:6" x14ac:dyDescent="0.2">
      <c r="A151" s="55">
        <v>31115001</v>
      </c>
      <c r="B151" s="55" t="s">
        <v>275</v>
      </c>
      <c r="C151" s="55">
        <v>0</v>
      </c>
      <c r="D151" s="55">
        <v>0</v>
      </c>
      <c r="E151" s="59">
        <v>54205.46</v>
      </c>
      <c r="F151" s="59">
        <v>-54205.46</v>
      </c>
    </row>
    <row r="153" spans="1:6" x14ac:dyDescent="0.2">
      <c r="A153" s="55">
        <v>32</v>
      </c>
      <c r="B153" s="55" t="s">
        <v>125</v>
      </c>
      <c r="C153" s="55">
        <v>0</v>
      </c>
      <c r="D153" s="55">
        <v>90.02</v>
      </c>
      <c r="E153" s="55">
        <v>195.01</v>
      </c>
      <c r="F153" s="55">
        <v>-104.99</v>
      </c>
    </row>
    <row r="155" spans="1:6" x14ac:dyDescent="0.2">
      <c r="A155" s="55">
        <v>321</v>
      </c>
      <c r="B155" s="55" t="s">
        <v>276</v>
      </c>
      <c r="C155" s="55">
        <v>0</v>
      </c>
      <c r="D155" s="55">
        <v>90.02</v>
      </c>
      <c r="E155" s="55">
        <v>195.01</v>
      </c>
      <c r="F155" s="55">
        <v>-104.99</v>
      </c>
    </row>
    <row r="157" spans="1:6" x14ac:dyDescent="0.2">
      <c r="A157" s="55">
        <v>32101</v>
      </c>
      <c r="B157" s="55" t="s">
        <v>126</v>
      </c>
      <c r="C157" s="55">
        <v>0</v>
      </c>
      <c r="D157" s="55">
        <v>90.02</v>
      </c>
      <c r="E157" s="55">
        <v>195.01</v>
      </c>
      <c r="F157" s="55">
        <v>-104.99</v>
      </c>
    </row>
    <row r="158" spans="1:6" x14ac:dyDescent="0.2">
      <c r="A158" s="55">
        <v>32101001</v>
      </c>
      <c r="B158" s="55" t="s">
        <v>277</v>
      </c>
      <c r="C158" s="55">
        <v>0</v>
      </c>
      <c r="D158" s="55">
        <v>90.02</v>
      </c>
      <c r="E158" s="55">
        <v>195.01</v>
      </c>
      <c r="F158" s="55">
        <v>-104.99</v>
      </c>
    </row>
    <row r="160" spans="1:6" x14ac:dyDescent="0.2">
      <c r="A160" s="55">
        <v>34</v>
      </c>
      <c r="B160" s="55" t="s">
        <v>278</v>
      </c>
      <c r="C160" s="55">
        <v>0</v>
      </c>
      <c r="D160" s="55">
        <v>0</v>
      </c>
      <c r="E160" s="59">
        <v>4500</v>
      </c>
      <c r="F160" s="59">
        <v>-4500</v>
      </c>
    </row>
    <row r="162" spans="1:6" x14ac:dyDescent="0.2">
      <c r="A162" s="55">
        <v>341</v>
      </c>
      <c r="B162" s="55" t="s">
        <v>279</v>
      </c>
      <c r="C162" s="55">
        <v>0</v>
      </c>
      <c r="D162" s="55">
        <v>0</v>
      </c>
      <c r="E162" s="59">
        <v>4500</v>
      </c>
      <c r="F162" s="59">
        <v>-4500</v>
      </c>
    </row>
    <row r="164" spans="1:6" x14ac:dyDescent="0.2">
      <c r="A164" s="55">
        <v>34101</v>
      </c>
      <c r="B164" s="55" t="s">
        <v>280</v>
      </c>
      <c r="C164" s="55">
        <v>0</v>
      </c>
      <c r="D164" s="55">
        <v>0</v>
      </c>
      <c r="E164" s="59">
        <v>4500</v>
      </c>
      <c r="F164" s="59">
        <v>-4500</v>
      </c>
    </row>
    <row r="165" spans="1:6" x14ac:dyDescent="0.2">
      <c r="A165" s="55">
        <v>34101002</v>
      </c>
      <c r="B165" s="55" t="s">
        <v>104</v>
      </c>
      <c r="C165" s="55">
        <v>0</v>
      </c>
      <c r="D165" s="55">
        <v>0</v>
      </c>
      <c r="E165" s="59">
        <v>4500</v>
      </c>
      <c r="F165" s="59">
        <v>-4500</v>
      </c>
    </row>
    <row r="167" spans="1:6" x14ac:dyDescent="0.2">
      <c r="A167" s="55">
        <v>4</v>
      </c>
      <c r="B167" s="55" t="s">
        <v>128</v>
      </c>
      <c r="C167" s="55">
        <v>0</v>
      </c>
      <c r="D167" s="59">
        <v>586629.27</v>
      </c>
      <c r="E167" s="59">
        <v>36259.9</v>
      </c>
      <c r="F167" s="59">
        <v>550369.37</v>
      </c>
    </row>
    <row r="169" spans="1:6" x14ac:dyDescent="0.2">
      <c r="A169" s="55">
        <v>41</v>
      </c>
      <c r="B169" s="55" t="s">
        <v>129</v>
      </c>
      <c r="C169" s="55">
        <v>0</v>
      </c>
      <c r="D169" s="59">
        <v>295581.31</v>
      </c>
      <c r="E169" s="59">
        <v>33546.94</v>
      </c>
      <c r="F169" s="59">
        <v>262034.37</v>
      </c>
    </row>
    <row r="171" spans="1:6" x14ac:dyDescent="0.2">
      <c r="A171" s="55">
        <v>411</v>
      </c>
      <c r="B171" s="55" t="s">
        <v>281</v>
      </c>
      <c r="C171" s="55">
        <v>0</v>
      </c>
      <c r="D171" s="59">
        <v>295581.31</v>
      </c>
      <c r="E171" s="59">
        <v>33546.94</v>
      </c>
      <c r="F171" s="59">
        <v>262034.37</v>
      </c>
    </row>
    <row r="173" spans="1:6" x14ac:dyDescent="0.2">
      <c r="A173" s="55">
        <v>41101</v>
      </c>
      <c r="B173" s="55" t="s">
        <v>282</v>
      </c>
      <c r="C173" s="55">
        <v>0</v>
      </c>
      <c r="D173" s="59">
        <v>150686.51999999999</v>
      </c>
      <c r="E173" s="59">
        <v>1499.94</v>
      </c>
      <c r="F173" s="59">
        <v>149186.57999999999</v>
      </c>
    </row>
    <row r="174" spans="1:6" x14ac:dyDescent="0.2">
      <c r="A174" s="55">
        <v>41101001</v>
      </c>
      <c r="B174" s="55" t="s">
        <v>152</v>
      </c>
      <c r="C174" s="55">
        <v>0</v>
      </c>
      <c r="D174" s="59">
        <v>14381.16</v>
      </c>
      <c r="E174" s="55">
        <v>0.92</v>
      </c>
      <c r="F174" s="59">
        <v>14380.24</v>
      </c>
    </row>
    <row r="175" spans="1:6" x14ac:dyDescent="0.2">
      <c r="A175" s="55">
        <v>41101004</v>
      </c>
      <c r="B175" s="55" t="s">
        <v>99</v>
      </c>
      <c r="C175" s="55">
        <v>0</v>
      </c>
      <c r="D175" s="59">
        <v>2785.82</v>
      </c>
      <c r="E175" s="55">
        <v>0</v>
      </c>
      <c r="F175" s="59">
        <v>2785.82</v>
      </c>
    </row>
    <row r="176" spans="1:6" x14ac:dyDescent="0.2">
      <c r="A176" s="55">
        <v>41101006</v>
      </c>
      <c r="B176" s="55" t="s">
        <v>100</v>
      </c>
      <c r="C176" s="55">
        <v>0</v>
      </c>
      <c r="D176" s="59">
        <v>12623.01</v>
      </c>
      <c r="E176" s="55">
        <v>0</v>
      </c>
      <c r="F176" s="59">
        <v>12623.01</v>
      </c>
    </row>
    <row r="177" spans="1:6" x14ac:dyDescent="0.2">
      <c r="A177" s="55">
        <v>41101007</v>
      </c>
      <c r="B177" s="55" t="s">
        <v>130</v>
      </c>
      <c r="C177" s="55">
        <v>0</v>
      </c>
      <c r="D177" s="59">
        <v>6648</v>
      </c>
      <c r="E177" s="55">
        <v>0</v>
      </c>
      <c r="F177" s="59">
        <v>6648</v>
      </c>
    </row>
    <row r="179" spans="1:6" x14ac:dyDescent="0.2">
      <c r="A179" s="55">
        <v>41101008</v>
      </c>
      <c r="B179" s="55" t="s">
        <v>131</v>
      </c>
      <c r="C179" s="55">
        <v>0</v>
      </c>
      <c r="D179" s="59">
        <v>3783.06</v>
      </c>
      <c r="E179" s="59">
        <v>1336</v>
      </c>
      <c r="F179" s="59">
        <v>2447.06</v>
      </c>
    </row>
    <row r="180" spans="1:6" x14ac:dyDescent="0.2">
      <c r="A180" s="55">
        <v>41101010</v>
      </c>
      <c r="B180" s="55" t="s">
        <v>283</v>
      </c>
      <c r="C180" s="55">
        <v>0</v>
      </c>
      <c r="D180" s="59">
        <v>110465.47</v>
      </c>
      <c r="E180" s="55">
        <v>163.02000000000001</v>
      </c>
      <c r="F180" s="59">
        <v>110302.45</v>
      </c>
    </row>
    <row r="182" spans="1:6" x14ac:dyDescent="0.2">
      <c r="A182" s="55">
        <v>41102</v>
      </c>
      <c r="B182" s="55" t="s">
        <v>284</v>
      </c>
      <c r="C182" s="55">
        <v>0</v>
      </c>
      <c r="D182" s="59">
        <v>21431.1</v>
      </c>
      <c r="E182" s="59">
        <v>7933.8</v>
      </c>
      <c r="F182" s="59">
        <v>13497.3</v>
      </c>
    </row>
    <row r="183" spans="1:6" x14ac:dyDescent="0.2">
      <c r="A183" s="55">
        <v>41102004</v>
      </c>
      <c r="B183" s="55" t="s">
        <v>132</v>
      </c>
      <c r="C183" s="55">
        <v>0</v>
      </c>
      <c r="D183" s="59">
        <v>21051.4</v>
      </c>
      <c r="E183" s="59">
        <v>7933.8</v>
      </c>
      <c r="F183" s="59">
        <v>13117.6</v>
      </c>
    </row>
    <row r="184" spans="1:6" x14ac:dyDescent="0.2">
      <c r="A184" s="55">
        <v>41102005</v>
      </c>
      <c r="B184" s="55" t="s">
        <v>285</v>
      </c>
      <c r="C184" s="55">
        <v>0</v>
      </c>
      <c r="D184" s="55">
        <v>379.7</v>
      </c>
      <c r="E184" s="55">
        <v>0</v>
      </c>
      <c r="F184" s="55">
        <v>379.7</v>
      </c>
    </row>
    <row r="186" spans="1:6" x14ac:dyDescent="0.2">
      <c r="A186" s="55">
        <v>41103</v>
      </c>
      <c r="B186" s="55" t="s">
        <v>102</v>
      </c>
      <c r="C186" s="55">
        <v>0</v>
      </c>
      <c r="D186" s="59">
        <v>48136.95</v>
      </c>
      <c r="E186" s="55">
        <v>0.64</v>
      </c>
      <c r="F186" s="59">
        <v>48136.31</v>
      </c>
    </row>
    <row r="187" spans="1:6" x14ac:dyDescent="0.2">
      <c r="A187" s="55">
        <v>41103001</v>
      </c>
      <c r="B187" s="55" t="s">
        <v>113</v>
      </c>
      <c r="C187" s="55">
        <v>0</v>
      </c>
      <c r="D187" s="59">
        <v>13095.28</v>
      </c>
      <c r="E187" s="55">
        <v>0.64</v>
      </c>
      <c r="F187" s="59">
        <v>13094.64</v>
      </c>
    </row>
    <row r="188" spans="1:6" x14ac:dyDescent="0.2">
      <c r="A188" s="55">
        <v>41103002</v>
      </c>
      <c r="B188" s="55" t="s">
        <v>133</v>
      </c>
      <c r="C188" s="55">
        <v>0</v>
      </c>
      <c r="D188" s="59">
        <v>1382.21</v>
      </c>
      <c r="E188" s="55">
        <v>0</v>
      </c>
      <c r="F188" s="59">
        <v>1382.21</v>
      </c>
    </row>
    <row r="189" spans="1:6" x14ac:dyDescent="0.2">
      <c r="A189" s="55">
        <v>41103003</v>
      </c>
      <c r="B189" s="55" t="s">
        <v>245</v>
      </c>
      <c r="C189" s="55">
        <v>0</v>
      </c>
      <c r="D189" s="59">
        <v>33659.46</v>
      </c>
      <c r="E189" s="55">
        <v>0</v>
      </c>
      <c r="F189" s="59">
        <v>33659.46</v>
      </c>
    </row>
    <row r="191" spans="1:6" x14ac:dyDescent="0.2">
      <c r="A191" s="55">
        <v>41104</v>
      </c>
      <c r="B191" s="55" t="s">
        <v>117</v>
      </c>
      <c r="C191" s="55">
        <v>0</v>
      </c>
      <c r="D191" s="59">
        <v>37370.230000000003</v>
      </c>
      <c r="E191" s="59">
        <v>24112.560000000001</v>
      </c>
      <c r="F191" s="59">
        <v>13257.67</v>
      </c>
    </row>
    <row r="192" spans="1:6" x14ac:dyDescent="0.2">
      <c r="A192" s="55">
        <v>41104001</v>
      </c>
      <c r="B192" s="55" t="s">
        <v>99</v>
      </c>
      <c r="C192" s="55">
        <v>0</v>
      </c>
      <c r="D192" s="59">
        <v>15296.84</v>
      </c>
      <c r="E192" s="59">
        <v>15296.84</v>
      </c>
      <c r="F192" s="55">
        <v>0</v>
      </c>
    </row>
    <row r="193" spans="1:6" x14ac:dyDescent="0.2">
      <c r="A193" s="55">
        <v>41104002</v>
      </c>
      <c r="B193" s="55" t="s">
        <v>100</v>
      </c>
      <c r="C193" s="55">
        <v>0</v>
      </c>
      <c r="D193" s="59">
        <v>22073.39</v>
      </c>
      <c r="E193" s="59">
        <v>8815.7199999999993</v>
      </c>
      <c r="F193" s="59">
        <v>13257.67</v>
      </c>
    </row>
    <row r="195" spans="1:6" x14ac:dyDescent="0.2">
      <c r="A195" s="55">
        <v>41105</v>
      </c>
      <c r="B195" s="55" t="s">
        <v>286</v>
      </c>
      <c r="C195" s="55">
        <v>0</v>
      </c>
      <c r="D195" s="59">
        <v>8509.67</v>
      </c>
      <c r="E195" s="55">
        <v>0</v>
      </c>
      <c r="F195" s="59">
        <v>8509.67</v>
      </c>
    </row>
    <row r="196" spans="1:6" x14ac:dyDescent="0.2">
      <c r="A196" s="55">
        <v>41105005</v>
      </c>
      <c r="B196" s="55" t="s">
        <v>287</v>
      </c>
      <c r="C196" s="55">
        <v>0</v>
      </c>
      <c r="D196" s="59">
        <v>8509.67</v>
      </c>
      <c r="E196" s="55">
        <v>0</v>
      </c>
      <c r="F196" s="59">
        <v>8509.67</v>
      </c>
    </row>
    <row r="198" spans="1:6" x14ac:dyDescent="0.2">
      <c r="A198" s="55">
        <v>41106</v>
      </c>
      <c r="B198" s="55" t="s">
        <v>288</v>
      </c>
      <c r="C198" s="55">
        <v>0</v>
      </c>
      <c r="D198" s="59">
        <v>3738.04</v>
      </c>
      <c r="E198" s="55">
        <v>0</v>
      </c>
      <c r="F198" s="59">
        <v>3738.04</v>
      </c>
    </row>
    <row r="199" spans="1:6" x14ac:dyDescent="0.2">
      <c r="A199" s="55">
        <v>41106002</v>
      </c>
      <c r="B199" s="55" t="s">
        <v>98</v>
      </c>
      <c r="C199" s="55">
        <v>0</v>
      </c>
      <c r="D199" s="55">
        <v>668</v>
      </c>
      <c r="E199" s="55">
        <v>0</v>
      </c>
      <c r="F199" s="55">
        <v>668</v>
      </c>
    </row>
    <row r="200" spans="1:6" x14ac:dyDescent="0.2">
      <c r="A200" s="55">
        <v>41106005</v>
      </c>
      <c r="B200" s="55" t="s">
        <v>273</v>
      </c>
      <c r="C200" s="55">
        <v>0</v>
      </c>
      <c r="D200" s="59">
        <v>3070.04</v>
      </c>
      <c r="E200" s="55">
        <v>0</v>
      </c>
      <c r="F200" s="59">
        <v>3070.04</v>
      </c>
    </row>
    <row r="202" spans="1:6" x14ac:dyDescent="0.2">
      <c r="A202" s="55">
        <v>41107</v>
      </c>
      <c r="B202" s="55" t="s">
        <v>289</v>
      </c>
      <c r="C202" s="55">
        <v>0</v>
      </c>
      <c r="D202" s="59">
        <v>25708.799999999999</v>
      </c>
      <c r="E202" s="55">
        <v>0</v>
      </c>
      <c r="F202" s="59">
        <v>25708.799999999999</v>
      </c>
    </row>
    <row r="203" spans="1:6" x14ac:dyDescent="0.2">
      <c r="A203" s="55">
        <v>41107009</v>
      </c>
      <c r="B203" s="55" t="s">
        <v>136</v>
      </c>
      <c r="C203" s="55">
        <v>0</v>
      </c>
      <c r="D203" s="59">
        <v>24884.3</v>
      </c>
      <c r="E203" s="55">
        <v>0</v>
      </c>
      <c r="F203" s="59">
        <v>24884.3</v>
      </c>
    </row>
    <row r="204" spans="1:6" x14ac:dyDescent="0.2">
      <c r="A204" s="55">
        <v>41107016</v>
      </c>
      <c r="B204" s="55" t="s">
        <v>135</v>
      </c>
      <c r="C204" s="55">
        <v>0</v>
      </c>
      <c r="D204" s="55">
        <v>338</v>
      </c>
      <c r="E204" s="55">
        <v>0</v>
      </c>
      <c r="F204" s="55">
        <v>338</v>
      </c>
    </row>
    <row r="205" spans="1:6" x14ac:dyDescent="0.2">
      <c r="A205" s="55">
        <v>41107017</v>
      </c>
      <c r="B205" s="55" t="s">
        <v>138</v>
      </c>
      <c r="C205" s="55">
        <v>0</v>
      </c>
      <c r="D205" s="55">
        <v>459.5</v>
      </c>
      <c r="E205" s="55">
        <v>0</v>
      </c>
      <c r="F205" s="55">
        <v>459.5</v>
      </c>
    </row>
    <row r="206" spans="1:6" x14ac:dyDescent="0.2">
      <c r="A206" s="55">
        <v>41107021</v>
      </c>
      <c r="B206" s="55" t="s">
        <v>290</v>
      </c>
      <c r="C206" s="55">
        <v>0</v>
      </c>
      <c r="D206" s="55">
        <v>27</v>
      </c>
      <c r="E206" s="55">
        <v>0</v>
      </c>
      <c r="F206" s="55">
        <v>27</v>
      </c>
    </row>
    <row r="208" spans="1:6" x14ac:dyDescent="0.2">
      <c r="A208" s="55">
        <v>42</v>
      </c>
      <c r="B208" s="55" t="s">
        <v>140</v>
      </c>
      <c r="C208" s="55">
        <v>0</v>
      </c>
      <c r="D208" s="59">
        <v>289922.96000000002</v>
      </c>
      <c r="E208" s="59">
        <v>2712.96</v>
      </c>
      <c r="F208" s="59">
        <v>287210</v>
      </c>
    </row>
    <row r="210" spans="1:6" x14ac:dyDescent="0.2">
      <c r="A210" s="55">
        <v>421</v>
      </c>
      <c r="B210" s="55" t="s">
        <v>140</v>
      </c>
      <c r="C210" s="55">
        <v>0</v>
      </c>
      <c r="D210" s="59">
        <v>279059.32</v>
      </c>
      <c r="E210" s="59">
        <v>2459.91</v>
      </c>
      <c r="F210" s="59">
        <v>276599.40999999997</v>
      </c>
    </row>
    <row r="212" spans="1:6" x14ac:dyDescent="0.2">
      <c r="A212" s="55">
        <v>42101</v>
      </c>
      <c r="B212" s="55" t="s">
        <v>291</v>
      </c>
      <c r="C212" s="55">
        <v>0</v>
      </c>
      <c r="D212" s="59">
        <v>71173.19</v>
      </c>
      <c r="E212" s="55">
        <v>69.91</v>
      </c>
      <c r="F212" s="59">
        <v>71103.28</v>
      </c>
    </row>
    <row r="213" spans="1:6" x14ac:dyDescent="0.2">
      <c r="A213" s="55">
        <v>42101001</v>
      </c>
      <c r="B213" s="55" t="s">
        <v>152</v>
      </c>
      <c r="C213" s="55">
        <v>0</v>
      </c>
      <c r="D213" s="59">
        <v>1466.89</v>
      </c>
      <c r="E213" s="55">
        <v>0</v>
      </c>
      <c r="F213" s="59">
        <v>1466.89</v>
      </c>
    </row>
    <row r="214" spans="1:6" x14ac:dyDescent="0.2">
      <c r="A214" s="55">
        <v>42101004</v>
      </c>
      <c r="B214" s="55" t="s">
        <v>99</v>
      </c>
      <c r="C214" s="55">
        <v>0</v>
      </c>
      <c r="D214" s="59">
        <v>4778.8100000000004</v>
      </c>
      <c r="E214" s="55">
        <v>0</v>
      </c>
      <c r="F214" s="59">
        <v>4778.8100000000004</v>
      </c>
    </row>
    <row r="215" spans="1:6" x14ac:dyDescent="0.2">
      <c r="A215" s="55">
        <v>42101006</v>
      </c>
      <c r="B215" s="55" t="s">
        <v>100</v>
      </c>
      <c r="C215" s="55">
        <v>0</v>
      </c>
      <c r="D215" s="59">
        <v>5652.35</v>
      </c>
      <c r="E215" s="55">
        <v>0</v>
      </c>
      <c r="F215" s="59">
        <v>5652.35</v>
      </c>
    </row>
    <row r="216" spans="1:6" x14ac:dyDescent="0.2">
      <c r="A216" s="55">
        <v>42101007</v>
      </c>
      <c r="B216" s="55" t="s">
        <v>130</v>
      </c>
      <c r="C216" s="55">
        <v>0</v>
      </c>
      <c r="D216" s="59">
        <v>1543.18</v>
      </c>
      <c r="E216" s="55">
        <v>0</v>
      </c>
      <c r="F216" s="59">
        <v>1543.18</v>
      </c>
    </row>
    <row r="217" spans="1:6" x14ac:dyDescent="0.2">
      <c r="A217" s="55">
        <v>42101008</v>
      </c>
      <c r="B217" s="55" t="s">
        <v>131</v>
      </c>
      <c r="C217" s="55">
        <v>0</v>
      </c>
      <c r="D217" s="59">
        <v>1258.8599999999999</v>
      </c>
      <c r="E217" s="55">
        <v>0</v>
      </c>
      <c r="F217" s="59">
        <v>1258.8599999999999</v>
      </c>
    </row>
    <row r="218" spans="1:6" x14ac:dyDescent="0.2">
      <c r="A218" s="55">
        <v>42101010</v>
      </c>
      <c r="B218" s="55" t="s">
        <v>101</v>
      </c>
      <c r="C218" s="55">
        <v>0</v>
      </c>
      <c r="D218" s="59">
        <v>56473.1</v>
      </c>
      <c r="E218" s="55">
        <v>69.91</v>
      </c>
      <c r="F218" s="59">
        <v>56403.19</v>
      </c>
    </row>
    <row r="220" spans="1:6" x14ac:dyDescent="0.2">
      <c r="A220" s="55">
        <v>42103</v>
      </c>
      <c r="B220" s="55" t="s">
        <v>102</v>
      </c>
      <c r="C220" s="55">
        <v>0</v>
      </c>
      <c r="D220" s="59">
        <v>31370.080000000002</v>
      </c>
      <c r="E220" s="55">
        <v>0</v>
      </c>
      <c r="F220" s="59">
        <v>31370.080000000002</v>
      </c>
    </row>
    <row r="221" spans="1:6" x14ac:dyDescent="0.2">
      <c r="A221" s="55">
        <v>42103001</v>
      </c>
      <c r="B221" s="55" t="s">
        <v>113</v>
      </c>
      <c r="C221" s="55">
        <v>0</v>
      </c>
      <c r="D221" s="59">
        <v>5888.62</v>
      </c>
      <c r="E221" s="55">
        <v>0</v>
      </c>
      <c r="F221" s="59">
        <v>5888.62</v>
      </c>
    </row>
    <row r="222" spans="1:6" x14ac:dyDescent="0.2">
      <c r="A222" s="55">
        <v>42103002</v>
      </c>
      <c r="B222" s="55" t="s">
        <v>133</v>
      </c>
      <c r="C222" s="55">
        <v>0</v>
      </c>
      <c r="D222" s="55">
        <v>742.33</v>
      </c>
      <c r="E222" s="55">
        <v>0</v>
      </c>
      <c r="F222" s="55">
        <v>742.33</v>
      </c>
    </row>
    <row r="223" spans="1:6" x14ac:dyDescent="0.2">
      <c r="A223" s="55">
        <v>42103003</v>
      </c>
      <c r="B223" s="55" t="s">
        <v>245</v>
      </c>
      <c r="C223" s="55">
        <v>0</v>
      </c>
      <c r="D223" s="59">
        <v>24739.13</v>
      </c>
      <c r="E223" s="55">
        <v>0</v>
      </c>
      <c r="F223" s="59">
        <v>24739.13</v>
      </c>
    </row>
    <row r="225" spans="1:6" x14ac:dyDescent="0.2">
      <c r="A225" s="55">
        <v>42106</v>
      </c>
      <c r="B225" s="55" t="s">
        <v>141</v>
      </c>
      <c r="C225" s="55">
        <v>0</v>
      </c>
      <c r="D225" s="59">
        <v>25819.29</v>
      </c>
      <c r="E225" s="55">
        <v>0</v>
      </c>
      <c r="F225" s="59">
        <v>25819.29</v>
      </c>
    </row>
    <row r="226" spans="1:6" x14ac:dyDescent="0.2">
      <c r="A226" s="55">
        <v>42106002</v>
      </c>
      <c r="B226" s="55" t="s">
        <v>292</v>
      </c>
      <c r="C226" s="55">
        <v>0</v>
      </c>
      <c r="D226" s="59">
        <v>15661.39</v>
      </c>
      <c r="E226" s="55">
        <v>0</v>
      </c>
      <c r="F226" s="59">
        <v>15661.39</v>
      </c>
    </row>
    <row r="227" spans="1:6" x14ac:dyDescent="0.2">
      <c r="A227" s="55">
        <v>42106004</v>
      </c>
      <c r="B227" s="55" t="s">
        <v>293</v>
      </c>
      <c r="C227" s="55">
        <v>0</v>
      </c>
      <c r="D227" s="59">
        <v>1020.9</v>
      </c>
      <c r="E227" s="55">
        <v>0</v>
      </c>
      <c r="F227" s="59">
        <v>1020.9</v>
      </c>
    </row>
    <row r="228" spans="1:6" x14ac:dyDescent="0.2">
      <c r="A228" s="55">
        <v>42106006</v>
      </c>
      <c r="B228" s="55" t="s">
        <v>109</v>
      </c>
      <c r="C228" s="55">
        <v>0</v>
      </c>
      <c r="D228" s="59">
        <v>9137</v>
      </c>
      <c r="E228" s="55">
        <v>0</v>
      </c>
      <c r="F228" s="59">
        <v>9137</v>
      </c>
    </row>
    <row r="230" spans="1:6" x14ac:dyDescent="0.2">
      <c r="A230" s="55">
        <v>42107</v>
      </c>
      <c r="B230" s="55" t="s">
        <v>142</v>
      </c>
      <c r="C230" s="55">
        <v>0</v>
      </c>
      <c r="D230" s="59">
        <v>14780.22</v>
      </c>
      <c r="E230" s="55">
        <v>0</v>
      </c>
      <c r="F230" s="59">
        <v>14780.22</v>
      </c>
    </row>
    <row r="231" spans="1:6" x14ac:dyDescent="0.2">
      <c r="A231" s="55">
        <v>42107003</v>
      </c>
      <c r="B231" s="55" t="s">
        <v>143</v>
      </c>
      <c r="C231" s="55">
        <v>0</v>
      </c>
      <c r="D231" s="59">
        <v>12462.91</v>
      </c>
      <c r="E231" s="55">
        <v>0</v>
      </c>
      <c r="F231" s="59">
        <v>12462.91</v>
      </c>
    </row>
    <row r="232" spans="1:6" x14ac:dyDescent="0.2">
      <c r="A232" s="55">
        <v>42107004</v>
      </c>
      <c r="B232" s="55" t="s">
        <v>294</v>
      </c>
      <c r="C232" s="55">
        <v>0</v>
      </c>
      <c r="D232" s="59">
        <v>2317.31</v>
      </c>
      <c r="E232" s="55">
        <v>0</v>
      </c>
      <c r="F232" s="59">
        <v>2317.31</v>
      </c>
    </row>
    <row r="234" spans="1:6" x14ac:dyDescent="0.2">
      <c r="A234" s="55">
        <v>42108</v>
      </c>
      <c r="B234" s="55" t="s">
        <v>144</v>
      </c>
      <c r="C234" s="55">
        <v>0</v>
      </c>
      <c r="D234" s="59">
        <v>135450.34</v>
      </c>
      <c r="E234" s="59">
        <v>2390</v>
      </c>
      <c r="F234" s="59">
        <v>133060.34</v>
      </c>
    </row>
    <row r="235" spans="1:6" x14ac:dyDescent="0.2">
      <c r="A235" s="55">
        <v>42108001</v>
      </c>
      <c r="B235" s="55" t="s">
        <v>295</v>
      </c>
      <c r="C235" s="55">
        <v>0</v>
      </c>
      <c r="D235" s="59">
        <v>2604.94</v>
      </c>
      <c r="E235" s="55">
        <v>0</v>
      </c>
      <c r="F235" s="59">
        <v>2604.94</v>
      </c>
    </row>
    <row r="236" spans="1:6" x14ac:dyDescent="0.2">
      <c r="A236" s="55">
        <v>42108002</v>
      </c>
      <c r="B236" s="55" t="s">
        <v>296</v>
      </c>
      <c r="C236" s="55">
        <v>0</v>
      </c>
      <c r="D236" s="59">
        <v>33306.25</v>
      </c>
      <c r="E236" s="59">
        <v>2390</v>
      </c>
      <c r="F236" s="59">
        <v>30916.25</v>
      </c>
    </row>
    <row r="237" spans="1:6" x14ac:dyDescent="0.2">
      <c r="A237" s="55">
        <v>42108003</v>
      </c>
      <c r="B237" s="55" t="s">
        <v>134</v>
      </c>
      <c r="C237" s="55">
        <v>0</v>
      </c>
      <c r="D237" s="59">
        <v>3597.39</v>
      </c>
      <c r="E237" s="55">
        <v>0</v>
      </c>
      <c r="F237" s="59">
        <v>3597.39</v>
      </c>
    </row>
    <row r="238" spans="1:6" x14ac:dyDescent="0.2">
      <c r="A238" s="55">
        <v>42108004</v>
      </c>
      <c r="B238" s="55" t="s">
        <v>145</v>
      </c>
      <c r="C238" s="55">
        <v>0</v>
      </c>
      <c r="D238" s="55">
        <v>54.95</v>
      </c>
      <c r="E238" s="55">
        <v>0</v>
      </c>
      <c r="F238" s="55">
        <v>54.95</v>
      </c>
    </row>
    <row r="239" spans="1:6" x14ac:dyDescent="0.2">
      <c r="A239" s="55">
        <v>42108006</v>
      </c>
      <c r="B239" s="55" t="s">
        <v>297</v>
      </c>
      <c r="C239" s="55">
        <v>0</v>
      </c>
      <c r="D239" s="59">
        <v>6101.24</v>
      </c>
      <c r="E239" s="55">
        <v>0</v>
      </c>
      <c r="F239" s="59">
        <v>6101.24</v>
      </c>
    </row>
    <row r="240" spans="1:6" x14ac:dyDescent="0.2">
      <c r="A240" s="55">
        <v>42108007</v>
      </c>
      <c r="B240" s="55" t="s">
        <v>146</v>
      </c>
      <c r="C240" s="55">
        <v>0</v>
      </c>
      <c r="D240" s="55">
        <v>146.52000000000001</v>
      </c>
      <c r="E240" s="55">
        <v>0</v>
      </c>
      <c r="F240" s="55">
        <v>146.52000000000001</v>
      </c>
    </row>
    <row r="241" spans="1:6" x14ac:dyDescent="0.2">
      <c r="A241" s="55">
        <v>42108009</v>
      </c>
      <c r="B241" s="55" t="s">
        <v>298</v>
      </c>
      <c r="C241" s="55">
        <v>0</v>
      </c>
      <c r="D241" s="59">
        <v>5833.26</v>
      </c>
      <c r="E241" s="55">
        <v>0</v>
      </c>
      <c r="F241" s="59">
        <v>5833.26</v>
      </c>
    </row>
    <row r="242" spans="1:6" x14ac:dyDescent="0.2">
      <c r="A242" s="55">
        <v>42108011</v>
      </c>
      <c r="B242" s="55" t="s">
        <v>138</v>
      </c>
      <c r="C242" s="55">
        <v>0</v>
      </c>
      <c r="D242" s="59">
        <v>1812.6</v>
      </c>
      <c r="E242" s="55">
        <v>0</v>
      </c>
      <c r="F242" s="59">
        <v>1812.6</v>
      </c>
    </row>
    <row r="243" spans="1:6" x14ac:dyDescent="0.2">
      <c r="A243" s="55">
        <v>42108012</v>
      </c>
      <c r="B243" s="55" t="s">
        <v>135</v>
      </c>
      <c r="C243" s="55">
        <v>0</v>
      </c>
      <c r="D243" s="59">
        <v>2749.39</v>
      </c>
      <c r="E243" s="55">
        <v>0</v>
      </c>
      <c r="F243" s="59">
        <v>2749.39</v>
      </c>
    </row>
    <row r="244" spans="1:6" x14ac:dyDescent="0.2">
      <c r="A244" s="55">
        <v>42108013</v>
      </c>
      <c r="B244" s="55" t="s">
        <v>147</v>
      </c>
      <c r="C244" s="55">
        <v>0</v>
      </c>
      <c r="D244" s="59">
        <v>3067.13</v>
      </c>
      <c r="E244" s="55">
        <v>0</v>
      </c>
      <c r="F244" s="59">
        <v>3067.13</v>
      </c>
    </row>
    <row r="245" spans="1:6" x14ac:dyDescent="0.2">
      <c r="A245" s="55">
        <v>42108014</v>
      </c>
      <c r="B245" s="55" t="s">
        <v>299</v>
      </c>
      <c r="C245" s="55">
        <v>0</v>
      </c>
      <c r="D245" s="55">
        <v>423.33</v>
      </c>
      <c r="E245" s="55">
        <v>0</v>
      </c>
      <c r="F245" s="55">
        <v>423.33</v>
      </c>
    </row>
    <row r="246" spans="1:6" x14ac:dyDescent="0.2">
      <c r="A246" s="55">
        <v>42108015</v>
      </c>
      <c r="B246" s="55" t="s">
        <v>148</v>
      </c>
      <c r="C246" s="55">
        <v>0</v>
      </c>
      <c r="D246" s="59">
        <v>1594.74</v>
      </c>
      <c r="E246" s="55">
        <v>0</v>
      </c>
      <c r="F246" s="59">
        <v>1594.74</v>
      </c>
    </row>
    <row r="247" spans="1:6" x14ac:dyDescent="0.2">
      <c r="A247" s="55">
        <v>42108016</v>
      </c>
      <c r="B247" s="55" t="s">
        <v>300</v>
      </c>
      <c r="C247" s="55">
        <v>0</v>
      </c>
      <c r="D247" s="59">
        <v>7904.46</v>
      </c>
      <c r="E247" s="55">
        <v>0</v>
      </c>
      <c r="F247" s="59">
        <v>7904.46</v>
      </c>
    </row>
    <row r="248" spans="1:6" x14ac:dyDescent="0.2">
      <c r="A248" s="55">
        <v>42108017</v>
      </c>
      <c r="B248" s="55" t="s">
        <v>149</v>
      </c>
      <c r="C248" s="55">
        <v>0</v>
      </c>
      <c r="D248" s="59">
        <v>9934.6200000000008</v>
      </c>
      <c r="E248" s="55">
        <v>0</v>
      </c>
      <c r="F248" s="59">
        <v>9934.6200000000008</v>
      </c>
    </row>
    <row r="249" spans="1:6" x14ac:dyDescent="0.2">
      <c r="A249" s="55">
        <v>42108021</v>
      </c>
      <c r="B249" s="55" t="s">
        <v>301</v>
      </c>
      <c r="C249" s="55">
        <v>0</v>
      </c>
      <c r="D249" s="59">
        <v>38591.43</v>
      </c>
      <c r="E249" s="55">
        <v>0</v>
      </c>
      <c r="F249" s="59">
        <v>38591.43</v>
      </c>
    </row>
    <row r="250" spans="1:6" x14ac:dyDescent="0.2">
      <c r="A250" s="55">
        <v>42108022</v>
      </c>
      <c r="B250" s="55" t="s">
        <v>302</v>
      </c>
      <c r="C250" s="55">
        <v>0</v>
      </c>
      <c r="D250" s="59">
        <v>3312.08</v>
      </c>
      <c r="E250" s="55">
        <v>0</v>
      </c>
      <c r="F250" s="59">
        <v>3312.08</v>
      </c>
    </row>
    <row r="251" spans="1:6" x14ac:dyDescent="0.2">
      <c r="A251" s="55">
        <v>42108023</v>
      </c>
      <c r="B251" s="55" t="s">
        <v>303</v>
      </c>
      <c r="C251" s="55">
        <v>0</v>
      </c>
      <c r="D251" s="59">
        <v>10472.84</v>
      </c>
      <c r="E251" s="55">
        <v>0</v>
      </c>
      <c r="F251" s="59">
        <v>10472.84</v>
      </c>
    </row>
    <row r="252" spans="1:6" x14ac:dyDescent="0.2">
      <c r="A252" s="55">
        <v>42108024</v>
      </c>
      <c r="B252" s="55" t="s">
        <v>150</v>
      </c>
      <c r="C252" s="55">
        <v>0</v>
      </c>
      <c r="D252" s="55">
        <v>63.2</v>
      </c>
      <c r="E252" s="55">
        <v>0</v>
      </c>
      <c r="F252" s="55">
        <v>63.2</v>
      </c>
    </row>
    <row r="253" spans="1:6" x14ac:dyDescent="0.2">
      <c r="A253" s="55">
        <v>42108025</v>
      </c>
      <c r="B253" s="55" t="s">
        <v>137</v>
      </c>
      <c r="C253" s="55">
        <v>0</v>
      </c>
      <c r="D253" s="55">
        <v>100</v>
      </c>
      <c r="E253" s="55">
        <v>0</v>
      </c>
      <c r="F253" s="55">
        <v>100</v>
      </c>
    </row>
    <row r="254" spans="1:6" x14ac:dyDescent="0.2">
      <c r="A254" s="55">
        <v>42108032</v>
      </c>
      <c r="B254" s="55" t="s">
        <v>304</v>
      </c>
      <c r="C254" s="55">
        <v>0</v>
      </c>
      <c r="D254" s="59">
        <v>1076.45</v>
      </c>
      <c r="E254" s="55">
        <v>0</v>
      </c>
      <c r="F254" s="59">
        <v>1076.45</v>
      </c>
    </row>
    <row r="255" spans="1:6" x14ac:dyDescent="0.2">
      <c r="A255" s="55">
        <v>42108036</v>
      </c>
      <c r="B255" s="55" t="s">
        <v>305</v>
      </c>
      <c r="C255" s="55">
        <v>0</v>
      </c>
      <c r="D255" s="59">
        <v>2575.83</v>
      </c>
      <c r="E255" s="55">
        <v>0</v>
      </c>
      <c r="F255" s="59">
        <v>2575.83</v>
      </c>
    </row>
    <row r="256" spans="1:6" x14ac:dyDescent="0.2">
      <c r="A256" s="55">
        <v>42108038</v>
      </c>
      <c r="B256" s="55" t="s">
        <v>306</v>
      </c>
      <c r="C256" s="55">
        <v>0</v>
      </c>
      <c r="D256" s="55">
        <v>127.69</v>
      </c>
      <c r="E256" s="55">
        <v>0</v>
      </c>
      <c r="F256" s="55">
        <v>127.69</v>
      </c>
    </row>
    <row r="258" spans="1:6" x14ac:dyDescent="0.2">
      <c r="A258" s="55">
        <v>42109</v>
      </c>
      <c r="B258" s="55" t="s">
        <v>139</v>
      </c>
      <c r="C258" s="55">
        <v>0</v>
      </c>
      <c r="D258" s="55">
        <v>466.2</v>
      </c>
      <c r="E258" s="55">
        <v>0</v>
      </c>
      <c r="F258" s="55">
        <v>466.2</v>
      </c>
    </row>
    <row r="259" spans="1:6" x14ac:dyDescent="0.2">
      <c r="A259" s="55">
        <v>42109003</v>
      </c>
      <c r="B259" s="55" t="s">
        <v>307</v>
      </c>
      <c r="C259" s="55">
        <v>0</v>
      </c>
      <c r="D259" s="55">
        <v>120</v>
      </c>
      <c r="E259" s="55">
        <v>0</v>
      </c>
      <c r="F259" s="55">
        <v>120</v>
      </c>
    </row>
    <row r="260" spans="1:6" x14ac:dyDescent="0.2">
      <c r="A260" s="55">
        <v>42109006</v>
      </c>
      <c r="B260" s="55" t="s">
        <v>308</v>
      </c>
      <c r="C260" s="55">
        <v>0</v>
      </c>
      <c r="D260" s="55">
        <v>76.2</v>
      </c>
      <c r="E260" s="55">
        <v>0</v>
      </c>
      <c r="F260" s="55">
        <v>76.2</v>
      </c>
    </row>
    <row r="261" spans="1:6" x14ac:dyDescent="0.2">
      <c r="A261" s="55">
        <v>42109007</v>
      </c>
      <c r="B261" s="55" t="s">
        <v>151</v>
      </c>
      <c r="C261" s="55">
        <v>0</v>
      </c>
      <c r="D261" s="55">
        <v>270</v>
      </c>
      <c r="E261" s="55">
        <v>0</v>
      </c>
      <c r="F261" s="55">
        <v>270</v>
      </c>
    </row>
    <row r="263" spans="1:6" x14ac:dyDescent="0.2">
      <c r="A263" s="55">
        <v>422</v>
      </c>
      <c r="B263" s="55" t="s">
        <v>153</v>
      </c>
      <c r="C263" s="55">
        <v>0</v>
      </c>
      <c r="D263" s="59">
        <v>7623.93</v>
      </c>
      <c r="E263" s="55">
        <v>38.11</v>
      </c>
      <c r="F263" s="59">
        <v>7585.82</v>
      </c>
    </row>
    <row r="265" spans="1:6" x14ac:dyDescent="0.2">
      <c r="A265" s="55">
        <v>42202</v>
      </c>
      <c r="B265" s="55" t="s">
        <v>309</v>
      </c>
      <c r="C265" s="55">
        <v>0</v>
      </c>
      <c r="D265" s="59">
        <v>5497.8</v>
      </c>
      <c r="E265" s="55">
        <v>37.909999999999997</v>
      </c>
      <c r="F265" s="59">
        <v>5459.89</v>
      </c>
    </row>
    <row r="266" spans="1:6" x14ac:dyDescent="0.2">
      <c r="A266" s="55">
        <v>42202001</v>
      </c>
      <c r="B266" s="55" t="s">
        <v>154</v>
      </c>
      <c r="C266" s="55">
        <v>0</v>
      </c>
      <c r="D266" s="59">
        <v>5497.8</v>
      </c>
      <c r="E266" s="55">
        <v>37.909999999999997</v>
      </c>
      <c r="F266" s="59">
        <v>5459.89</v>
      </c>
    </row>
    <row r="268" spans="1:6" x14ac:dyDescent="0.2">
      <c r="A268" s="55">
        <v>42203</v>
      </c>
      <c r="B268" s="55" t="s">
        <v>155</v>
      </c>
      <c r="C268" s="55">
        <v>0</v>
      </c>
      <c r="D268" s="59">
        <v>2116.13</v>
      </c>
      <c r="E268" s="55">
        <v>0.2</v>
      </c>
      <c r="F268" s="59">
        <v>2115.9299999999998</v>
      </c>
    </row>
    <row r="269" spans="1:6" x14ac:dyDescent="0.2">
      <c r="A269" s="55">
        <v>42203001</v>
      </c>
      <c r="B269" s="55" t="s">
        <v>310</v>
      </c>
      <c r="C269" s="55">
        <v>0</v>
      </c>
      <c r="D269" s="59">
        <v>1853.7</v>
      </c>
      <c r="E269" s="55">
        <v>0.2</v>
      </c>
      <c r="F269" s="59">
        <v>1853.5</v>
      </c>
    </row>
    <row r="270" spans="1:6" x14ac:dyDescent="0.2">
      <c r="A270" s="55">
        <v>42203002</v>
      </c>
      <c r="B270" s="55" t="s">
        <v>311</v>
      </c>
      <c r="C270" s="55">
        <v>0</v>
      </c>
      <c r="D270" s="55">
        <v>262.43</v>
      </c>
      <c r="E270" s="55">
        <v>0</v>
      </c>
      <c r="F270" s="55">
        <v>262.43</v>
      </c>
    </row>
    <row r="272" spans="1:6" x14ac:dyDescent="0.2">
      <c r="A272" s="55">
        <v>42204</v>
      </c>
      <c r="B272" s="55" t="s">
        <v>312</v>
      </c>
      <c r="C272" s="55">
        <v>0</v>
      </c>
      <c r="D272" s="55">
        <v>10</v>
      </c>
      <c r="E272" s="55">
        <v>0</v>
      </c>
      <c r="F272" s="55">
        <v>10</v>
      </c>
    </row>
    <row r="273" spans="1:6" x14ac:dyDescent="0.2">
      <c r="A273" s="55">
        <v>42204001</v>
      </c>
      <c r="B273" s="55" t="s">
        <v>156</v>
      </c>
      <c r="C273" s="55">
        <v>0</v>
      </c>
      <c r="D273" s="55">
        <v>10</v>
      </c>
      <c r="E273" s="55">
        <v>0</v>
      </c>
      <c r="F273" s="55">
        <v>10</v>
      </c>
    </row>
    <row r="275" spans="1:6" x14ac:dyDescent="0.2">
      <c r="A275" s="55">
        <v>424</v>
      </c>
      <c r="B275" s="55" t="s">
        <v>157</v>
      </c>
      <c r="C275" s="55">
        <v>0</v>
      </c>
      <c r="D275" s="59">
        <v>3239.71</v>
      </c>
      <c r="E275" s="55">
        <v>214.94</v>
      </c>
      <c r="F275" s="59">
        <v>3024.77</v>
      </c>
    </row>
    <row r="277" spans="1:6" x14ac:dyDescent="0.2">
      <c r="A277" s="55">
        <v>42401</v>
      </c>
      <c r="B277" s="55" t="s">
        <v>313</v>
      </c>
      <c r="C277" s="55">
        <v>0</v>
      </c>
      <c r="D277" s="59">
        <v>2803.24</v>
      </c>
      <c r="E277" s="55">
        <v>214.94</v>
      </c>
      <c r="F277" s="59">
        <v>2588.3000000000002</v>
      </c>
    </row>
    <row r="278" spans="1:6" x14ac:dyDescent="0.2">
      <c r="A278" s="55">
        <v>42401004</v>
      </c>
      <c r="B278" s="55" t="s">
        <v>158</v>
      </c>
      <c r="C278" s="55">
        <v>0</v>
      </c>
      <c r="D278" s="55">
        <v>407.54</v>
      </c>
      <c r="E278" s="55">
        <v>0</v>
      </c>
      <c r="F278" s="55">
        <v>407.54</v>
      </c>
    </row>
    <row r="279" spans="1:6" x14ac:dyDescent="0.2">
      <c r="A279" s="55">
        <v>42401005</v>
      </c>
      <c r="B279" s="55" t="s">
        <v>314</v>
      </c>
      <c r="C279" s="55">
        <v>0</v>
      </c>
      <c r="D279" s="59">
        <v>2298.9299999999998</v>
      </c>
      <c r="E279" s="55">
        <v>214.94</v>
      </c>
      <c r="F279" s="59">
        <v>2083.9899999999998</v>
      </c>
    </row>
    <row r="280" spans="1:6" x14ac:dyDescent="0.2">
      <c r="A280" s="55">
        <v>42401007</v>
      </c>
      <c r="B280" s="55" t="s">
        <v>159</v>
      </c>
      <c r="C280" s="55">
        <v>0</v>
      </c>
      <c r="D280" s="55">
        <v>96.77</v>
      </c>
      <c r="E280" s="55">
        <v>0</v>
      </c>
      <c r="F280" s="55">
        <v>96.77</v>
      </c>
    </row>
    <row r="282" spans="1:6" x14ac:dyDescent="0.2">
      <c r="A282" s="55">
        <v>42402</v>
      </c>
      <c r="B282" s="55" t="s">
        <v>160</v>
      </c>
      <c r="C282" s="55">
        <v>0</v>
      </c>
      <c r="D282" s="55">
        <v>436.47</v>
      </c>
      <c r="E282" s="55">
        <v>0</v>
      </c>
      <c r="F282" s="55">
        <v>436.47</v>
      </c>
    </row>
    <row r="283" spans="1:6" x14ac:dyDescent="0.2">
      <c r="A283" s="55">
        <v>42402003</v>
      </c>
      <c r="B283" s="55" t="s">
        <v>315</v>
      </c>
      <c r="C283" s="55">
        <v>0</v>
      </c>
      <c r="D283" s="55">
        <v>436.47</v>
      </c>
      <c r="E283" s="55">
        <v>0</v>
      </c>
      <c r="F283" s="55">
        <v>436.47</v>
      </c>
    </row>
    <row r="285" spans="1:6" x14ac:dyDescent="0.2">
      <c r="A285" s="55">
        <v>44</v>
      </c>
      <c r="B285" s="55" t="s">
        <v>316</v>
      </c>
      <c r="C285" s="55">
        <v>0</v>
      </c>
      <c r="D285" s="59">
        <v>1125</v>
      </c>
      <c r="E285" s="55">
        <v>0</v>
      </c>
      <c r="F285" s="59">
        <v>1125</v>
      </c>
    </row>
    <row r="287" spans="1:6" x14ac:dyDescent="0.2">
      <c r="A287" s="55">
        <v>441</v>
      </c>
      <c r="B287" s="55" t="s">
        <v>318</v>
      </c>
      <c r="C287" s="55">
        <v>0</v>
      </c>
      <c r="D287" s="59">
        <v>1125</v>
      </c>
      <c r="E287" s="55">
        <v>0</v>
      </c>
      <c r="F287" s="59">
        <v>1125</v>
      </c>
    </row>
    <row r="289" spans="1:6" x14ac:dyDescent="0.2">
      <c r="A289" s="55">
        <v>44101</v>
      </c>
      <c r="B289" s="55" t="s">
        <v>280</v>
      </c>
      <c r="C289" s="55">
        <v>0</v>
      </c>
      <c r="D289" s="59">
        <v>1125</v>
      </c>
      <c r="E289" s="55">
        <v>0</v>
      </c>
      <c r="F289" s="59">
        <v>1125</v>
      </c>
    </row>
    <row r="290" spans="1:6" x14ac:dyDescent="0.2">
      <c r="A290" s="55">
        <v>44101002</v>
      </c>
      <c r="B290" s="55" t="s">
        <v>104</v>
      </c>
      <c r="C290" s="55">
        <v>0</v>
      </c>
      <c r="D290" s="59">
        <v>1125</v>
      </c>
      <c r="E290" s="55">
        <v>0</v>
      </c>
      <c r="F290" s="59">
        <v>1125</v>
      </c>
    </row>
    <row r="291" spans="1:6" x14ac:dyDescent="0.2">
      <c r="D291" s="59">
        <v>2558754.89</v>
      </c>
      <c r="E291" s="59">
        <v>2558754.89</v>
      </c>
    </row>
    <row r="293" spans="1:6" x14ac:dyDescent="0.2">
      <c r="B293" s="55" t="s">
        <v>325</v>
      </c>
    </row>
    <row r="295" spans="1:6" x14ac:dyDescent="0.2">
      <c r="B295" s="55" t="s">
        <v>172</v>
      </c>
    </row>
    <row r="300" spans="1:6" x14ac:dyDescent="0.2">
      <c r="C300" s="59"/>
      <c r="D300" s="59"/>
      <c r="E300" s="59"/>
      <c r="F300" s="59"/>
    </row>
    <row r="301" spans="1:6" x14ac:dyDescent="0.2">
      <c r="B301" s="5" t="s">
        <v>183</v>
      </c>
      <c r="C301" s="5"/>
      <c r="D301" s="7" t="s">
        <v>185</v>
      </c>
      <c r="E301" s="7"/>
      <c r="F301" s="79"/>
    </row>
    <row r="302" spans="1:6" x14ac:dyDescent="0.2">
      <c r="B302" s="5" t="s">
        <v>4</v>
      </c>
      <c r="C302" s="5"/>
      <c r="D302" s="89" t="s">
        <v>186</v>
      </c>
      <c r="E302" s="89"/>
      <c r="F302" s="79"/>
    </row>
    <row r="303" spans="1:6" x14ac:dyDescent="0.2">
      <c r="B303" s="5" t="s">
        <v>184</v>
      </c>
      <c r="C303" s="87"/>
      <c r="D303" s="89" t="s">
        <v>187</v>
      </c>
      <c r="E303" s="89"/>
      <c r="F303" s="7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4</vt:i4>
      </vt:variant>
    </vt:vector>
  </HeadingPairs>
  <TitlesOfParts>
    <vt:vector size="10" baseType="lpstr">
      <vt:lpstr>BP 2012 - Publicação</vt:lpstr>
      <vt:lpstr>DR 2012 - Publicação</vt:lpstr>
      <vt:lpstr> DMPL 2012 - Publicação</vt:lpstr>
      <vt:lpstr>DFC 2012 Publicação</vt:lpstr>
      <vt:lpstr>Balancete 01-12 C Zeramento</vt:lpstr>
      <vt:lpstr>Balancete 01-12 S Zeramento</vt:lpstr>
      <vt:lpstr>' DMPL 2012 - Publicação'!Area_de_impressao</vt:lpstr>
      <vt:lpstr>'BP 2012 - Publicação'!Area_de_impressao</vt:lpstr>
      <vt:lpstr>'DFC 2012 Publicação'!Area_de_impressao</vt:lpstr>
      <vt:lpstr>'DR 2012 - Publicação'!Area_de_impressao</vt:lpstr>
    </vt:vector>
  </TitlesOfParts>
  <Company>'AGUIA ASSESSORIA CONTABIL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ARISTIDES Costa Vieira</dc:creator>
  <cp:lastModifiedBy>Lar Maos Pequenas</cp:lastModifiedBy>
  <cp:lastPrinted>2013-07-29T16:26:19Z</cp:lastPrinted>
  <dcterms:created xsi:type="dcterms:W3CDTF">2005-03-30T13:16:26Z</dcterms:created>
  <dcterms:modified xsi:type="dcterms:W3CDTF">2020-05-19T15:09:17Z</dcterms:modified>
</cp:coreProperties>
</file>